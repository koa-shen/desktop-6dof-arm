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ac-my.sharepoint.com/personal/koashen_slac_stanford_edu/Documents/desktop-6dof-arm/docs/"/>
    </mc:Choice>
  </mc:AlternateContent>
  <xr:revisionPtr revIDLastSave="0" documentId="8_{75A688A0-901F-41C3-840B-FEB5AB8BDCD3}" xr6:coauthVersionLast="47" xr6:coauthVersionMax="47" xr10:uidLastSave="{00000000-0000-0000-0000-000000000000}"/>
  <bookViews>
    <workbookView xWindow="-108" yWindow="-108" windowWidth="23256" windowHeight="13896" xr2:uid="{EA99BFC5-A5E8-4D79-841E-54AB3E601F21}"/>
  </bookViews>
  <sheets>
    <sheet name="Epicycloid" sheetId="4" r:id="rId1"/>
    <sheet name="Targets" sheetId="3" r:id="rId2"/>
    <sheet name="BOM" sheetId="2" r:id="rId3"/>
    <sheet name="Read Me" sheetId="1" r:id="rId4"/>
  </sheets>
  <definedNames>
    <definedName name="_xlnm._FilterDatabase" localSheetId="2" hidden="1">BOM!$A$1:$G$1</definedName>
    <definedName name="_xlnm._FilterDatabase" localSheetId="1" hidden="1">Targets!$A$1:$F$1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14" i="4" l="1"/>
  <c r="C1014" i="4" s="1"/>
  <c r="A1014" i="4"/>
  <c r="A1013" i="4"/>
  <c r="B1013" i="4" s="1"/>
  <c r="C1013" i="4" s="1"/>
  <c r="A1012" i="4"/>
  <c r="B1012" i="4" s="1"/>
  <c r="C1012" i="4" s="1"/>
  <c r="B1011" i="4"/>
  <c r="C1011" i="4" s="1"/>
  <c r="A1011" i="4"/>
  <c r="D1010" i="4"/>
  <c r="B1010" i="4"/>
  <c r="C1010" i="4" s="1"/>
  <c r="E1010" i="4" s="1"/>
  <c r="A1010" i="4"/>
  <c r="A1009" i="4"/>
  <c r="B1009" i="4" s="1"/>
  <c r="C1009" i="4" s="1"/>
  <c r="B1008" i="4"/>
  <c r="C1008" i="4" s="1"/>
  <c r="E1008" i="4" s="1"/>
  <c r="A1008" i="4"/>
  <c r="E1007" i="4"/>
  <c r="B1007" i="4"/>
  <c r="C1007" i="4" s="1"/>
  <c r="D1007" i="4" s="1"/>
  <c r="A1007" i="4"/>
  <c r="C1006" i="4"/>
  <c r="D1006" i="4" s="1"/>
  <c r="B1006" i="4"/>
  <c r="A1006" i="4"/>
  <c r="A1005" i="4"/>
  <c r="B1005" i="4" s="1"/>
  <c r="C1005" i="4" s="1"/>
  <c r="C1004" i="4"/>
  <c r="E1004" i="4" s="1"/>
  <c r="A1004" i="4"/>
  <c r="B1004" i="4" s="1"/>
  <c r="E1003" i="4"/>
  <c r="A1003" i="4"/>
  <c r="B1003" i="4" s="1"/>
  <c r="C1003" i="4" s="1"/>
  <c r="D1003" i="4" s="1"/>
  <c r="C1002" i="4"/>
  <c r="E1002" i="4" s="1"/>
  <c r="B1002" i="4"/>
  <c r="A1002" i="4"/>
  <c r="B1001" i="4"/>
  <c r="C1001" i="4" s="1"/>
  <c r="A1001" i="4"/>
  <c r="D1000" i="4"/>
  <c r="A1000" i="4"/>
  <c r="B1000" i="4" s="1"/>
  <c r="C1000" i="4" s="1"/>
  <c r="E1000" i="4" s="1"/>
  <c r="A999" i="4"/>
  <c r="B999" i="4" s="1"/>
  <c r="C999" i="4" s="1"/>
  <c r="B998" i="4"/>
  <c r="C998" i="4" s="1"/>
  <c r="A998" i="4"/>
  <c r="B997" i="4"/>
  <c r="C997" i="4" s="1"/>
  <c r="D997" i="4" s="1"/>
  <c r="A997" i="4"/>
  <c r="B996" i="4"/>
  <c r="C996" i="4" s="1"/>
  <c r="E996" i="4" s="1"/>
  <c r="A996" i="4"/>
  <c r="C995" i="4"/>
  <c r="A995" i="4"/>
  <c r="B995" i="4" s="1"/>
  <c r="E994" i="4"/>
  <c r="C994" i="4"/>
  <c r="D994" i="4" s="1"/>
  <c r="A994" i="4"/>
  <c r="B994" i="4" s="1"/>
  <c r="A993" i="4"/>
  <c r="B993" i="4" s="1"/>
  <c r="C993" i="4" s="1"/>
  <c r="B992" i="4"/>
  <c r="C992" i="4" s="1"/>
  <c r="A992" i="4"/>
  <c r="B991" i="4"/>
  <c r="C991" i="4" s="1"/>
  <c r="E991" i="4" s="1"/>
  <c r="A991" i="4"/>
  <c r="A990" i="4"/>
  <c r="B990" i="4" s="1"/>
  <c r="C990" i="4" s="1"/>
  <c r="A989" i="4"/>
  <c r="B989" i="4" s="1"/>
  <c r="C989" i="4" s="1"/>
  <c r="E988" i="4"/>
  <c r="D988" i="4"/>
  <c r="B988" i="4"/>
  <c r="C988" i="4" s="1"/>
  <c r="A988" i="4"/>
  <c r="E987" i="4"/>
  <c r="D987" i="4"/>
  <c r="A987" i="4"/>
  <c r="B987" i="4" s="1"/>
  <c r="C987" i="4" s="1"/>
  <c r="D986" i="4"/>
  <c r="C986" i="4"/>
  <c r="E986" i="4" s="1"/>
  <c r="B986" i="4"/>
  <c r="A986" i="4"/>
  <c r="A985" i="4"/>
  <c r="B985" i="4" s="1"/>
  <c r="C985" i="4" s="1"/>
  <c r="C984" i="4"/>
  <c r="D984" i="4" s="1"/>
  <c r="A984" i="4"/>
  <c r="B984" i="4" s="1"/>
  <c r="C983" i="4"/>
  <c r="A983" i="4"/>
  <c r="B983" i="4" s="1"/>
  <c r="B982" i="4"/>
  <c r="C982" i="4" s="1"/>
  <c r="E982" i="4" s="1"/>
  <c r="A982" i="4"/>
  <c r="A981" i="4"/>
  <c r="B981" i="4" s="1"/>
  <c r="C981" i="4" s="1"/>
  <c r="A980" i="4"/>
  <c r="B980" i="4" s="1"/>
  <c r="C980" i="4" s="1"/>
  <c r="B979" i="4"/>
  <c r="C979" i="4" s="1"/>
  <c r="D979" i="4" s="1"/>
  <c r="A979" i="4"/>
  <c r="B978" i="4"/>
  <c r="C978" i="4" s="1"/>
  <c r="A978" i="4"/>
  <c r="A977" i="4"/>
  <c r="B977" i="4" s="1"/>
  <c r="C977" i="4" s="1"/>
  <c r="B976" i="4"/>
  <c r="C976" i="4" s="1"/>
  <c r="E976" i="4" s="1"/>
  <c r="A976" i="4"/>
  <c r="B975" i="4"/>
  <c r="C975" i="4" s="1"/>
  <c r="A975" i="4"/>
  <c r="E974" i="4"/>
  <c r="D974" i="4"/>
  <c r="B974" i="4"/>
  <c r="C974" i="4" s="1"/>
  <c r="A974" i="4"/>
  <c r="A973" i="4"/>
  <c r="B973" i="4" s="1"/>
  <c r="C973" i="4" s="1"/>
  <c r="E973" i="4" s="1"/>
  <c r="A972" i="4"/>
  <c r="B972" i="4" s="1"/>
  <c r="C972" i="4" s="1"/>
  <c r="E972" i="4" s="1"/>
  <c r="A971" i="4"/>
  <c r="B971" i="4" s="1"/>
  <c r="C971" i="4" s="1"/>
  <c r="E970" i="4"/>
  <c r="B970" i="4"/>
  <c r="C970" i="4" s="1"/>
  <c r="D970" i="4" s="1"/>
  <c r="A970" i="4"/>
  <c r="A969" i="4"/>
  <c r="B969" i="4" s="1"/>
  <c r="C969" i="4" s="1"/>
  <c r="A968" i="4"/>
  <c r="B968" i="4" s="1"/>
  <c r="C968" i="4" s="1"/>
  <c r="E967" i="4"/>
  <c r="A967" i="4"/>
  <c r="B967" i="4" s="1"/>
  <c r="C967" i="4" s="1"/>
  <c r="D967" i="4" s="1"/>
  <c r="A966" i="4"/>
  <c r="B966" i="4" s="1"/>
  <c r="C966" i="4" s="1"/>
  <c r="B965" i="4"/>
  <c r="C965" i="4" s="1"/>
  <c r="A965" i="4"/>
  <c r="B964" i="4"/>
  <c r="C964" i="4" s="1"/>
  <c r="A964" i="4"/>
  <c r="A963" i="4"/>
  <c r="B963" i="4" s="1"/>
  <c r="C963" i="4" s="1"/>
  <c r="B962" i="4"/>
  <c r="C962" i="4" s="1"/>
  <c r="E962" i="4" s="1"/>
  <c r="A962" i="4"/>
  <c r="A961" i="4"/>
  <c r="B961" i="4" s="1"/>
  <c r="C961" i="4" s="1"/>
  <c r="A960" i="4"/>
  <c r="B960" i="4" s="1"/>
  <c r="C960" i="4" s="1"/>
  <c r="B959" i="4"/>
  <c r="C959" i="4" s="1"/>
  <c r="A959" i="4"/>
  <c r="E958" i="4"/>
  <c r="D958" i="4"/>
  <c r="B958" i="4"/>
  <c r="C958" i="4" s="1"/>
  <c r="A958" i="4"/>
  <c r="C957" i="4"/>
  <c r="A957" i="4"/>
  <c r="B957" i="4" s="1"/>
  <c r="A956" i="4"/>
  <c r="B956" i="4" s="1"/>
  <c r="C956" i="4" s="1"/>
  <c r="B955" i="4"/>
  <c r="C955" i="4" s="1"/>
  <c r="D955" i="4" s="1"/>
  <c r="A955" i="4"/>
  <c r="E954" i="4"/>
  <c r="C954" i="4"/>
  <c r="D954" i="4" s="1"/>
  <c r="B954" i="4"/>
  <c r="A954" i="4"/>
  <c r="A953" i="4"/>
  <c r="B953" i="4" s="1"/>
  <c r="C953" i="4" s="1"/>
  <c r="A952" i="4"/>
  <c r="B952" i="4" s="1"/>
  <c r="C952" i="4" s="1"/>
  <c r="D951" i="4"/>
  <c r="C951" i="4"/>
  <c r="E951" i="4" s="1"/>
  <c r="A951" i="4"/>
  <c r="B951" i="4" s="1"/>
  <c r="A950" i="4"/>
  <c r="B950" i="4" s="1"/>
  <c r="C950" i="4" s="1"/>
  <c r="E950" i="4" s="1"/>
  <c r="A949" i="4"/>
  <c r="B949" i="4" s="1"/>
  <c r="C949" i="4" s="1"/>
  <c r="A948" i="4"/>
  <c r="B948" i="4" s="1"/>
  <c r="C948" i="4" s="1"/>
  <c r="E947" i="4"/>
  <c r="B947" i="4"/>
  <c r="C947" i="4" s="1"/>
  <c r="D947" i="4" s="1"/>
  <c r="A947" i="4"/>
  <c r="A946" i="4"/>
  <c r="B946" i="4" s="1"/>
  <c r="C946" i="4" s="1"/>
  <c r="E946" i="4" s="1"/>
  <c r="A945" i="4"/>
  <c r="B945" i="4" s="1"/>
  <c r="C945" i="4" s="1"/>
  <c r="A944" i="4"/>
  <c r="B944" i="4" s="1"/>
  <c r="C944" i="4" s="1"/>
  <c r="E943" i="4"/>
  <c r="B943" i="4"/>
  <c r="C943" i="4" s="1"/>
  <c r="D943" i="4" s="1"/>
  <c r="A943" i="4"/>
  <c r="D942" i="4"/>
  <c r="B942" i="4"/>
  <c r="C942" i="4" s="1"/>
  <c r="E942" i="4" s="1"/>
  <c r="A942" i="4"/>
  <c r="C941" i="4"/>
  <c r="A941" i="4"/>
  <c r="B941" i="4" s="1"/>
  <c r="A940" i="4"/>
  <c r="B940" i="4" s="1"/>
  <c r="C940" i="4" s="1"/>
  <c r="E939" i="4"/>
  <c r="A939" i="4"/>
  <c r="B939" i="4" s="1"/>
  <c r="C939" i="4" s="1"/>
  <c r="D939" i="4" s="1"/>
  <c r="E938" i="4"/>
  <c r="C938" i="4"/>
  <c r="D938" i="4" s="1"/>
  <c r="B938" i="4"/>
  <c r="A938" i="4"/>
  <c r="D937" i="4"/>
  <c r="C937" i="4"/>
  <c r="E937" i="4" s="1"/>
  <c r="B937" i="4"/>
  <c r="A937" i="4"/>
  <c r="A936" i="4"/>
  <c r="B936" i="4" s="1"/>
  <c r="C936" i="4" s="1"/>
  <c r="B935" i="4"/>
  <c r="C935" i="4" s="1"/>
  <c r="A935" i="4"/>
  <c r="A934" i="4"/>
  <c r="B934" i="4" s="1"/>
  <c r="C934" i="4" s="1"/>
  <c r="B933" i="4"/>
  <c r="C933" i="4" s="1"/>
  <c r="D933" i="4" s="1"/>
  <c r="A933" i="4"/>
  <c r="D932" i="4"/>
  <c r="C932" i="4"/>
  <c r="E932" i="4" s="1"/>
  <c r="B932" i="4"/>
  <c r="A932" i="4"/>
  <c r="B931" i="4"/>
  <c r="C931" i="4" s="1"/>
  <c r="A931" i="4"/>
  <c r="A930" i="4"/>
  <c r="B930" i="4" s="1"/>
  <c r="C930" i="4" s="1"/>
  <c r="B929" i="4"/>
  <c r="C929" i="4" s="1"/>
  <c r="A929" i="4"/>
  <c r="A928" i="4"/>
  <c r="B928" i="4" s="1"/>
  <c r="C928" i="4" s="1"/>
  <c r="E927" i="4"/>
  <c r="D927" i="4"/>
  <c r="C927" i="4"/>
  <c r="A927" i="4"/>
  <c r="B927" i="4" s="1"/>
  <c r="A926" i="4"/>
  <c r="B926" i="4" s="1"/>
  <c r="C926" i="4" s="1"/>
  <c r="A925" i="4"/>
  <c r="B925" i="4" s="1"/>
  <c r="C925" i="4" s="1"/>
  <c r="B924" i="4"/>
  <c r="C924" i="4" s="1"/>
  <c r="A924" i="4"/>
  <c r="D923" i="4"/>
  <c r="A923" i="4"/>
  <c r="B923" i="4" s="1"/>
  <c r="C923" i="4" s="1"/>
  <c r="E923" i="4" s="1"/>
  <c r="C922" i="4"/>
  <c r="E922" i="4" s="1"/>
  <c r="B922" i="4"/>
  <c r="A922" i="4"/>
  <c r="B921" i="4"/>
  <c r="C921" i="4" s="1"/>
  <c r="A921" i="4"/>
  <c r="A920" i="4"/>
  <c r="B920" i="4" s="1"/>
  <c r="C920" i="4" s="1"/>
  <c r="E920" i="4" s="1"/>
  <c r="E919" i="4"/>
  <c r="C919" i="4"/>
  <c r="D919" i="4" s="1"/>
  <c r="B919" i="4"/>
  <c r="A919" i="4"/>
  <c r="A918" i="4"/>
  <c r="B918" i="4" s="1"/>
  <c r="C918" i="4" s="1"/>
  <c r="E917" i="4"/>
  <c r="D917" i="4"/>
  <c r="C917" i="4"/>
  <c r="A917" i="4"/>
  <c r="B917" i="4" s="1"/>
  <c r="A916" i="4"/>
  <c r="B916" i="4" s="1"/>
  <c r="C916" i="4" s="1"/>
  <c r="B915" i="4"/>
  <c r="C915" i="4" s="1"/>
  <c r="A915" i="4"/>
  <c r="A914" i="4"/>
  <c r="B914" i="4" s="1"/>
  <c r="C914" i="4" s="1"/>
  <c r="E913" i="4"/>
  <c r="D913" i="4"/>
  <c r="A913" i="4"/>
  <c r="B913" i="4" s="1"/>
  <c r="C913" i="4" s="1"/>
  <c r="B912" i="4"/>
  <c r="C912" i="4" s="1"/>
  <c r="A912" i="4"/>
  <c r="E911" i="4"/>
  <c r="D911" i="4"/>
  <c r="C911" i="4"/>
  <c r="B911" i="4"/>
  <c r="A911" i="4"/>
  <c r="B910" i="4"/>
  <c r="C910" i="4" s="1"/>
  <c r="A910" i="4"/>
  <c r="A909" i="4"/>
  <c r="B909" i="4" s="1"/>
  <c r="C909" i="4" s="1"/>
  <c r="E909" i="4" s="1"/>
  <c r="B908" i="4"/>
  <c r="C908" i="4" s="1"/>
  <c r="A908" i="4"/>
  <c r="B907" i="4"/>
  <c r="C907" i="4" s="1"/>
  <c r="A907" i="4"/>
  <c r="E906" i="4"/>
  <c r="B906" i="4"/>
  <c r="C906" i="4" s="1"/>
  <c r="D906" i="4" s="1"/>
  <c r="A906" i="4"/>
  <c r="B905" i="4"/>
  <c r="C905" i="4" s="1"/>
  <c r="A905" i="4"/>
  <c r="C904" i="4"/>
  <c r="E904" i="4" s="1"/>
  <c r="B904" i="4"/>
  <c r="A904" i="4"/>
  <c r="E903" i="4"/>
  <c r="D903" i="4"/>
  <c r="A903" i="4"/>
  <c r="B903" i="4" s="1"/>
  <c r="C903" i="4" s="1"/>
  <c r="A902" i="4"/>
  <c r="B902" i="4" s="1"/>
  <c r="C902" i="4" s="1"/>
  <c r="D901" i="4"/>
  <c r="C901" i="4"/>
  <c r="E901" i="4" s="1"/>
  <c r="B901" i="4"/>
  <c r="A901" i="4"/>
  <c r="C900" i="4"/>
  <c r="E900" i="4" s="1"/>
  <c r="B900" i="4"/>
  <c r="A900" i="4"/>
  <c r="C899" i="4"/>
  <c r="A899" i="4"/>
  <c r="B899" i="4" s="1"/>
  <c r="A898" i="4"/>
  <c r="B898" i="4" s="1"/>
  <c r="C898" i="4" s="1"/>
  <c r="A897" i="4"/>
  <c r="B897" i="4" s="1"/>
  <c r="C897" i="4" s="1"/>
  <c r="D897" i="4" s="1"/>
  <c r="E896" i="4"/>
  <c r="A896" i="4"/>
  <c r="B896" i="4" s="1"/>
  <c r="C896" i="4" s="1"/>
  <c r="D896" i="4" s="1"/>
  <c r="B895" i="4"/>
  <c r="C895" i="4" s="1"/>
  <c r="A895" i="4"/>
  <c r="A894" i="4"/>
  <c r="B894" i="4" s="1"/>
  <c r="C894" i="4" s="1"/>
  <c r="E893" i="4"/>
  <c r="D893" i="4"/>
  <c r="C893" i="4"/>
  <c r="A893" i="4"/>
  <c r="B893" i="4" s="1"/>
  <c r="D892" i="4"/>
  <c r="B892" i="4"/>
  <c r="C892" i="4" s="1"/>
  <c r="E892" i="4" s="1"/>
  <c r="A892" i="4"/>
  <c r="E891" i="4"/>
  <c r="B891" i="4"/>
  <c r="C891" i="4" s="1"/>
  <c r="D891" i="4" s="1"/>
  <c r="A891" i="4"/>
  <c r="D890" i="4"/>
  <c r="C890" i="4"/>
  <c r="E890" i="4" s="1"/>
  <c r="B890" i="4"/>
  <c r="A890" i="4"/>
  <c r="B889" i="4"/>
  <c r="C889" i="4" s="1"/>
  <c r="A889" i="4"/>
  <c r="B888" i="4"/>
  <c r="C888" i="4" s="1"/>
  <c r="E888" i="4" s="1"/>
  <c r="A888" i="4"/>
  <c r="A887" i="4"/>
  <c r="B887" i="4" s="1"/>
  <c r="C887" i="4" s="1"/>
  <c r="D886" i="4"/>
  <c r="A886" i="4"/>
  <c r="B886" i="4" s="1"/>
  <c r="C886" i="4" s="1"/>
  <c r="E886" i="4" s="1"/>
  <c r="B885" i="4"/>
  <c r="C885" i="4" s="1"/>
  <c r="A885" i="4"/>
  <c r="C884" i="4"/>
  <c r="B884" i="4"/>
  <c r="A884" i="4"/>
  <c r="B883" i="4"/>
  <c r="C883" i="4" s="1"/>
  <c r="A883" i="4"/>
  <c r="D882" i="4"/>
  <c r="C882" i="4"/>
  <c r="E882" i="4" s="1"/>
  <c r="B882" i="4"/>
  <c r="A882" i="4"/>
  <c r="B881" i="4"/>
  <c r="C881" i="4" s="1"/>
  <c r="A881" i="4"/>
  <c r="A880" i="4"/>
  <c r="B880" i="4" s="1"/>
  <c r="C880" i="4" s="1"/>
  <c r="A879" i="4"/>
  <c r="B879" i="4" s="1"/>
  <c r="C879" i="4" s="1"/>
  <c r="A878" i="4"/>
  <c r="B878" i="4" s="1"/>
  <c r="C878" i="4" s="1"/>
  <c r="E877" i="4"/>
  <c r="D877" i="4"/>
  <c r="C877" i="4"/>
  <c r="A877" i="4"/>
  <c r="B877" i="4" s="1"/>
  <c r="A876" i="4"/>
  <c r="B876" i="4" s="1"/>
  <c r="C876" i="4" s="1"/>
  <c r="A875" i="4"/>
  <c r="B875" i="4" s="1"/>
  <c r="C875" i="4" s="1"/>
  <c r="E874" i="4"/>
  <c r="C874" i="4"/>
  <c r="D874" i="4" s="1"/>
  <c r="B874" i="4"/>
  <c r="A874" i="4"/>
  <c r="E873" i="4"/>
  <c r="D873" i="4"/>
  <c r="C873" i="4"/>
  <c r="B873" i="4"/>
  <c r="A873" i="4"/>
  <c r="A872" i="4"/>
  <c r="B872" i="4" s="1"/>
  <c r="C872" i="4" s="1"/>
  <c r="C871" i="4"/>
  <c r="A871" i="4"/>
  <c r="B871" i="4" s="1"/>
  <c r="B870" i="4"/>
  <c r="C870" i="4" s="1"/>
  <c r="A870" i="4"/>
  <c r="B869" i="4"/>
  <c r="C869" i="4" s="1"/>
  <c r="A869" i="4"/>
  <c r="B868" i="4"/>
  <c r="C868" i="4" s="1"/>
  <c r="A868" i="4"/>
  <c r="E867" i="4"/>
  <c r="C867" i="4"/>
  <c r="D867" i="4" s="1"/>
  <c r="A867" i="4"/>
  <c r="B867" i="4" s="1"/>
  <c r="C866" i="4"/>
  <c r="A866" i="4"/>
  <c r="B866" i="4" s="1"/>
  <c r="B865" i="4"/>
  <c r="C865" i="4" s="1"/>
  <c r="A865" i="4"/>
  <c r="B864" i="4"/>
  <c r="C864" i="4" s="1"/>
  <c r="A864" i="4"/>
  <c r="E863" i="4"/>
  <c r="C863" i="4"/>
  <c r="D863" i="4" s="1"/>
  <c r="B863" i="4"/>
  <c r="A863" i="4"/>
  <c r="A862" i="4"/>
  <c r="B862" i="4" s="1"/>
  <c r="C862" i="4" s="1"/>
  <c r="E861" i="4"/>
  <c r="C861" i="4"/>
  <c r="D861" i="4" s="1"/>
  <c r="A861" i="4"/>
  <c r="B861" i="4" s="1"/>
  <c r="C860" i="4"/>
  <c r="B860" i="4"/>
  <c r="A860" i="4"/>
  <c r="D859" i="4"/>
  <c r="A859" i="4"/>
  <c r="B859" i="4" s="1"/>
  <c r="C859" i="4" s="1"/>
  <c r="E859" i="4" s="1"/>
  <c r="E858" i="4"/>
  <c r="D858" i="4"/>
  <c r="C858" i="4"/>
  <c r="B858" i="4"/>
  <c r="A858" i="4"/>
  <c r="A857" i="4"/>
  <c r="B857" i="4" s="1"/>
  <c r="C857" i="4" s="1"/>
  <c r="C856" i="4"/>
  <c r="E856" i="4" s="1"/>
  <c r="A856" i="4"/>
  <c r="B856" i="4" s="1"/>
  <c r="A855" i="4"/>
  <c r="B855" i="4" s="1"/>
  <c r="C855" i="4" s="1"/>
  <c r="D854" i="4"/>
  <c r="C854" i="4"/>
  <c r="E854" i="4" s="1"/>
  <c r="A854" i="4"/>
  <c r="B854" i="4" s="1"/>
  <c r="C853" i="4"/>
  <c r="B853" i="4"/>
  <c r="A853" i="4"/>
  <c r="A852" i="4"/>
  <c r="B852" i="4" s="1"/>
  <c r="C852" i="4" s="1"/>
  <c r="E851" i="4"/>
  <c r="C851" i="4"/>
  <c r="D851" i="4" s="1"/>
  <c r="A851" i="4"/>
  <c r="B851" i="4" s="1"/>
  <c r="E850" i="4"/>
  <c r="D850" i="4"/>
  <c r="B850" i="4"/>
  <c r="C850" i="4" s="1"/>
  <c r="A850" i="4"/>
  <c r="A849" i="4"/>
  <c r="B849" i="4" s="1"/>
  <c r="C849" i="4" s="1"/>
  <c r="E848" i="4"/>
  <c r="D848" i="4"/>
  <c r="A848" i="4"/>
  <c r="B848" i="4" s="1"/>
  <c r="C848" i="4" s="1"/>
  <c r="B847" i="4"/>
  <c r="C847" i="4" s="1"/>
  <c r="A847" i="4"/>
  <c r="E846" i="4"/>
  <c r="C846" i="4"/>
  <c r="D846" i="4" s="1"/>
  <c r="B846" i="4"/>
  <c r="A846" i="4"/>
  <c r="A845" i="4"/>
  <c r="B845" i="4" s="1"/>
  <c r="C845" i="4" s="1"/>
  <c r="C844" i="4"/>
  <c r="D844" i="4" s="1"/>
  <c r="B844" i="4"/>
  <c r="A844" i="4"/>
  <c r="B843" i="4"/>
  <c r="C843" i="4" s="1"/>
  <c r="A843" i="4"/>
  <c r="E842" i="4"/>
  <c r="B842" i="4"/>
  <c r="C842" i="4" s="1"/>
  <c r="D842" i="4" s="1"/>
  <c r="A842" i="4"/>
  <c r="C841" i="4"/>
  <c r="B841" i="4"/>
  <c r="A841" i="4"/>
  <c r="E840" i="4"/>
  <c r="A840" i="4"/>
  <c r="B840" i="4" s="1"/>
  <c r="C840" i="4" s="1"/>
  <c r="D840" i="4" s="1"/>
  <c r="E839" i="4"/>
  <c r="D839" i="4"/>
  <c r="A839" i="4"/>
  <c r="B839" i="4" s="1"/>
  <c r="C839" i="4" s="1"/>
  <c r="A838" i="4"/>
  <c r="B838" i="4" s="1"/>
  <c r="C838" i="4" s="1"/>
  <c r="E837" i="4"/>
  <c r="D837" i="4"/>
  <c r="C837" i="4"/>
  <c r="A837" i="4"/>
  <c r="B837" i="4" s="1"/>
  <c r="C836" i="4"/>
  <c r="E836" i="4" s="1"/>
  <c r="B836" i="4"/>
  <c r="A836" i="4"/>
  <c r="C835" i="4"/>
  <c r="A835" i="4"/>
  <c r="B835" i="4" s="1"/>
  <c r="B834" i="4"/>
  <c r="C834" i="4" s="1"/>
  <c r="A834" i="4"/>
  <c r="A833" i="4"/>
  <c r="B833" i="4" s="1"/>
  <c r="C833" i="4" s="1"/>
  <c r="E832" i="4"/>
  <c r="A832" i="4"/>
  <c r="B832" i="4" s="1"/>
  <c r="C832" i="4" s="1"/>
  <c r="D832" i="4" s="1"/>
  <c r="E831" i="4"/>
  <c r="D831" i="4"/>
  <c r="B831" i="4"/>
  <c r="C831" i="4" s="1"/>
  <c r="A831" i="4"/>
  <c r="A830" i="4"/>
  <c r="B830" i="4" s="1"/>
  <c r="C830" i="4" s="1"/>
  <c r="D829" i="4"/>
  <c r="C829" i="4"/>
  <c r="E829" i="4" s="1"/>
  <c r="A829" i="4"/>
  <c r="B829" i="4" s="1"/>
  <c r="C828" i="4"/>
  <c r="B828" i="4"/>
  <c r="A828" i="4"/>
  <c r="A827" i="4"/>
  <c r="B827" i="4" s="1"/>
  <c r="C827" i="4" s="1"/>
  <c r="D826" i="4"/>
  <c r="C826" i="4"/>
  <c r="E826" i="4" s="1"/>
  <c r="B826" i="4"/>
  <c r="A826" i="4"/>
  <c r="A825" i="4"/>
  <c r="B825" i="4" s="1"/>
  <c r="C825" i="4" s="1"/>
  <c r="D824" i="4"/>
  <c r="C824" i="4"/>
  <c r="E824" i="4" s="1"/>
  <c r="A824" i="4"/>
  <c r="B824" i="4" s="1"/>
  <c r="C823" i="4"/>
  <c r="B823" i="4"/>
  <c r="A823" i="4"/>
  <c r="D822" i="4"/>
  <c r="A822" i="4"/>
  <c r="B822" i="4" s="1"/>
  <c r="C822" i="4" s="1"/>
  <c r="E822" i="4" s="1"/>
  <c r="E821" i="4"/>
  <c r="D821" i="4"/>
  <c r="C821" i="4"/>
  <c r="B821" i="4"/>
  <c r="A821" i="4"/>
  <c r="D820" i="4"/>
  <c r="B820" i="4"/>
  <c r="C820" i="4" s="1"/>
  <c r="E820" i="4" s="1"/>
  <c r="A820" i="4"/>
  <c r="C819" i="4"/>
  <c r="B819" i="4"/>
  <c r="A819" i="4"/>
  <c r="B818" i="4"/>
  <c r="C818" i="4" s="1"/>
  <c r="A818" i="4"/>
  <c r="E817" i="4"/>
  <c r="D817" i="4"/>
  <c r="C817" i="4"/>
  <c r="B817" i="4"/>
  <c r="A817" i="4"/>
  <c r="A816" i="4"/>
  <c r="B816" i="4" s="1"/>
  <c r="C816" i="4" s="1"/>
  <c r="A815" i="4"/>
  <c r="B815" i="4" s="1"/>
  <c r="C815" i="4" s="1"/>
  <c r="C814" i="4"/>
  <c r="B814" i="4"/>
  <c r="A814" i="4"/>
  <c r="A813" i="4"/>
  <c r="B813" i="4" s="1"/>
  <c r="C813" i="4" s="1"/>
  <c r="A812" i="4"/>
  <c r="B812" i="4" s="1"/>
  <c r="C812" i="4" s="1"/>
  <c r="E811" i="4"/>
  <c r="B811" i="4"/>
  <c r="C811" i="4" s="1"/>
  <c r="D811" i="4" s="1"/>
  <c r="A811" i="4"/>
  <c r="E810" i="4"/>
  <c r="D810" i="4"/>
  <c r="B810" i="4"/>
  <c r="C810" i="4" s="1"/>
  <c r="A810" i="4"/>
  <c r="B809" i="4"/>
  <c r="C809" i="4" s="1"/>
  <c r="A809" i="4"/>
  <c r="C808" i="4"/>
  <c r="E808" i="4" s="1"/>
  <c r="B808" i="4"/>
  <c r="A808" i="4"/>
  <c r="A807" i="4"/>
  <c r="B807" i="4" s="1"/>
  <c r="C807" i="4" s="1"/>
  <c r="D806" i="4"/>
  <c r="B806" i="4"/>
  <c r="C806" i="4" s="1"/>
  <c r="E806" i="4" s="1"/>
  <c r="A806" i="4"/>
  <c r="B805" i="4"/>
  <c r="C805" i="4" s="1"/>
  <c r="D805" i="4" s="1"/>
  <c r="A805" i="4"/>
  <c r="A804" i="4"/>
  <c r="B804" i="4" s="1"/>
  <c r="C804" i="4" s="1"/>
  <c r="E804" i="4" s="1"/>
  <c r="A803" i="4"/>
  <c r="B803" i="4" s="1"/>
  <c r="C803" i="4" s="1"/>
  <c r="E802" i="4"/>
  <c r="D802" i="4"/>
  <c r="C802" i="4"/>
  <c r="A802" i="4"/>
  <c r="B802" i="4" s="1"/>
  <c r="A801" i="4"/>
  <c r="B801" i="4" s="1"/>
  <c r="C801" i="4" s="1"/>
  <c r="B800" i="4"/>
  <c r="C800" i="4" s="1"/>
  <c r="A800" i="4"/>
  <c r="C799" i="4"/>
  <c r="B799" i="4"/>
  <c r="A799" i="4"/>
  <c r="B798" i="4"/>
  <c r="C798" i="4" s="1"/>
  <c r="A798" i="4"/>
  <c r="C797" i="4"/>
  <c r="A797" i="4"/>
  <c r="B797" i="4" s="1"/>
  <c r="E796" i="4"/>
  <c r="D796" i="4"/>
  <c r="C796" i="4"/>
  <c r="A796" i="4"/>
  <c r="B796" i="4" s="1"/>
  <c r="E795" i="4"/>
  <c r="D795" i="4"/>
  <c r="A795" i="4"/>
  <c r="B795" i="4" s="1"/>
  <c r="C795" i="4" s="1"/>
  <c r="E794" i="4"/>
  <c r="D794" i="4"/>
  <c r="C794" i="4"/>
  <c r="B794" i="4"/>
  <c r="A794" i="4"/>
  <c r="C793" i="4"/>
  <c r="E793" i="4" s="1"/>
  <c r="B793" i="4"/>
  <c r="A793" i="4"/>
  <c r="E792" i="4"/>
  <c r="C792" i="4"/>
  <c r="D792" i="4" s="1"/>
  <c r="A792" i="4"/>
  <c r="B792" i="4" s="1"/>
  <c r="C791" i="4"/>
  <c r="E791" i="4" s="1"/>
  <c r="B791" i="4"/>
  <c r="A791" i="4"/>
  <c r="A790" i="4"/>
  <c r="B790" i="4" s="1"/>
  <c r="C790" i="4" s="1"/>
  <c r="B789" i="4"/>
  <c r="C789" i="4" s="1"/>
  <c r="A789" i="4"/>
  <c r="C788" i="4"/>
  <c r="A788" i="4"/>
  <c r="B788" i="4" s="1"/>
  <c r="A787" i="4"/>
  <c r="B787" i="4" s="1"/>
  <c r="C787" i="4" s="1"/>
  <c r="D787" i="4" s="1"/>
  <c r="A786" i="4"/>
  <c r="B786" i="4" s="1"/>
  <c r="C786" i="4" s="1"/>
  <c r="E785" i="4"/>
  <c r="D785" i="4"/>
  <c r="A785" i="4"/>
  <c r="B785" i="4" s="1"/>
  <c r="C785" i="4" s="1"/>
  <c r="A784" i="4"/>
  <c r="B784" i="4" s="1"/>
  <c r="C784" i="4" s="1"/>
  <c r="E783" i="4"/>
  <c r="D783" i="4"/>
  <c r="B783" i="4"/>
  <c r="C783" i="4" s="1"/>
  <c r="A783" i="4"/>
  <c r="C782" i="4"/>
  <c r="B782" i="4"/>
  <c r="A782" i="4"/>
  <c r="D781" i="4"/>
  <c r="C781" i="4"/>
  <c r="E781" i="4" s="1"/>
  <c r="A781" i="4"/>
  <c r="B781" i="4" s="1"/>
  <c r="A780" i="4"/>
  <c r="B780" i="4" s="1"/>
  <c r="C780" i="4" s="1"/>
  <c r="D780" i="4" s="1"/>
  <c r="E779" i="4"/>
  <c r="D779" i="4"/>
  <c r="B779" i="4"/>
  <c r="C779" i="4" s="1"/>
  <c r="A779" i="4"/>
  <c r="E778" i="4"/>
  <c r="B778" i="4"/>
  <c r="C778" i="4" s="1"/>
  <c r="D778" i="4" s="1"/>
  <c r="A778" i="4"/>
  <c r="A777" i="4"/>
  <c r="B777" i="4" s="1"/>
  <c r="C777" i="4" s="1"/>
  <c r="E776" i="4"/>
  <c r="A776" i="4"/>
  <c r="B776" i="4" s="1"/>
  <c r="C776" i="4" s="1"/>
  <c r="D776" i="4" s="1"/>
  <c r="D775" i="4"/>
  <c r="A775" i="4"/>
  <c r="B775" i="4" s="1"/>
  <c r="C775" i="4" s="1"/>
  <c r="E775" i="4" s="1"/>
  <c r="B774" i="4"/>
  <c r="C774" i="4" s="1"/>
  <c r="A774" i="4"/>
  <c r="A773" i="4"/>
  <c r="B773" i="4" s="1"/>
  <c r="C773" i="4" s="1"/>
  <c r="E772" i="4"/>
  <c r="D772" i="4"/>
  <c r="C772" i="4"/>
  <c r="B772" i="4"/>
  <c r="A772" i="4"/>
  <c r="A771" i="4"/>
  <c r="B771" i="4" s="1"/>
  <c r="C771" i="4" s="1"/>
  <c r="E770" i="4"/>
  <c r="D770" i="4"/>
  <c r="B770" i="4"/>
  <c r="C770" i="4" s="1"/>
  <c r="A770" i="4"/>
  <c r="B769" i="4"/>
  <c r="C769" i="4" s="1"/>
  <c r="A769" i="4"/>
  <c r="A768" i="4"/>
  <c r="B768" i="4" s="1"/>
  <c r="C768" i="4" s="1"/>
  <c r="B767" i="4"/>
  <c r="C767" i="4" s="1"/>
  <c r="A767" i="4"/>
  <c r="C766" i="4"/>
  <c r="A766" i="4"/>
  <c r="B766" i="4" s="1"/>
  <c r="D765" i="4"/>
  <c r="C765" i="4"/>
  <c r="E765" i="4" s="1"/>
  <c r="A765" i="4"/>
  <c r="B765" i="4" s="1"/>
  <c r="C764" i="4"/>
  <c r="A764" i="4"/>
  <c r="B764" i="4" s="1"/>
  <c r="B763" i="4"/>
  <c r="C763" i="4" s="1"/>
  <c r="A763" i="4"/>
  <c r="B762" i="4"/>
  <c r="C762" i="4" s="1"/>
  <c r="A762" i="4"/>
  <c r="C761" i="4"/>
  <c r="A761" i="4"/>
  <c r="B761" i="4" s="1"/>
  <c r="E760" i="4"/>
  <c r="A760" i="4"/>
  <c r="B760" i="4" s="1"/>
  <c r="C760" i="4" s="1"/>
  <c r="D760" i="4" s="1"/>
  <c r="C759" i="4"/>
  <c r="E759" i="4" s="1"/>
  <c r="B759" i="4"/>
  <c r="A759" i="4"/>
  <c r="D758" i="4"/>
  <c r="A758" i="4"/>
  <c r="B758" i="4" s="1"/>
  <c r="C758" i="4" s="1"/>
  <c r="E758" i="4" s="1"/>
  <c r="A757" i="4"/>
  <c r="B757" i="4" s="1"/>
  <c r="C757" i="4" s="1"/>
  <c r="A756" i="4"/>
  <c r="B756" i="4" s="1"/>
  <c r="C756" i="4" s="1"/>
  <c r="E755" i="4"/>
  <c r="C755" i="4"/>
  <c r="D755" i="4" s="1"/>
  <c r="B755" i="4"/>
  <c r="A755" i="4"/>
  <c r="B754" i="4"/>
  <c r="C754" i="4" s="1"/>
  <c r="A754" i="4"/>
  <c r="A753" i="4"/>
  <c r="B753" i="4" s="1"/>
  <c r="C753" i="4" s="1"/>
  <c r="D752" i="4"/>
  <c r="B752" i="4"/>
  <c r="C752" i="4" s="1"/>
  <c r="E752" i="4" s="1"/>
  <c r="A752" i="4"/>
  <c r="E751" i="4"/>
  <c r="B751" i="4"/>
  <c r="C751" i="4" s="1"/>
  <c r="D751" i="4" s="1"/>
  <c r="A751" i="4"/>
  <c r="B750" i="4"/>
  <c r="C750" i="4" s="1"/>
  <c r="A750" i="4"/>
  <c r="E749" i="4"/>
  <c r="D749" i="4"/>
  <c r="A749" i="4"/>
  <c r="B749" i="4" s="1"/>
  <c r="C749" i="4" s="1"/>
  <c r="C748" i="4"/>
  <c r="B748" i="4"/>
  <c r="A748" i="4"/>
  <c r="B747" i="4"/>
  <c r="C747" i="4" s="1"/>
  <c r="A747" i="4"/>
  <c r="C746" i="4"/>
  <c r="B746" i="4"/>
  <c r="A746" i="4"/>
  <c r="C745" i="4"/>
  <c r="B745" i="4"/>
  <c r="A745" i="4"/>
  <c r="C744" i="4"/>
  <c r="A744" i="4"/>
  <c r="B744" i="4" s="1"/>
  <c r="B743" i="4"/>
  <c r="C743" i="4" s="1"/>
  <c r="A743" i="4"/>
  <c r="B742" i="4"/>
  <c r="C742" i="4" s="1"/>
  <c r="A742" i="4"/>
  <c r="A741" i="4"/>
  <c r="B741" i="4" s="1"/>
  <c r="C741" i="4" s="1"/>
  <c r="A740" i="4"/>
  <c r="B740" i="4" s="1"/>
  <c r="C740" i="4" s="1"/>
  <c r="A739" i="4"/>
  <c r="B739" i="4" s="1"/>
  <c r="C739" i="4" s="1"/>
  <c r="E738" i="4"/>
  <c r="C738" i="4"/>
  <c r="D738" i="4" s="1"/>
  <c r="A738" i="4"/>
  <c r="B738" i="4" s="1"/>
  <c r="A737" i="4"/>
  <c r="B737" i="4" s="1"/>
  <c r="C737" i="4" s="1"/>
  <c r="A736" i="4"/>
  <c r="B736" i="4" s="1"/>
  <c r="C736" i="4" s="1"/>
  <c r="E735" i="4"/>
  <c r="D735" i="4"/>
  <c r="C735" i="4"/>
  <c r="B735" i="4"/>
  <c r="A735" i="4"/>
  <c r="A734" i="4"/>
  <c r="B734" i="4" s="1"/>
  <c r="C734" i="4" s="1"/>
  <c r="E733" i="4"/>
  <c r="C733" i="4"/>
  <c r="D733" i="4" s="1"/>
  <c r="A733" i="4"/>
  <c r="B733" i="4" s="1"/>
  <c r="B732" i="4"/>
  <c r="C732" i="4" s="1"/>
  <c r="A732" i="4"/>
  <c r="A731" i="4"/>
  <c r="B731" i="4" s="1"/>
  <c r="C731" i="4" s="1"/>
  <c r="B730" i="4"/>
  <c r="C730" i="4" s="1"/>
  <c r="A730" i="4"/>
  <c r="D729" i="4"/>
  <c r="A729" i="4"/>
  <c r="B729" i="4" s="1"/>
  <c r="C729" i="4" s="1"/>
  <c r="E729" i="4" s="1"/>
  <c r="D728" i="4"/>
  <c r="C728" i="4"/>
  <c r="E728" i="4" s="1"/>
  <c r="A728" i="4"/>
  <c r="B728" i="4" s="1"/>
  <c r="E727" i="4"/>
  <c r="D727" i="4"/>
  <c r="B727" i="4"/>
  <c r="C727" i="4" s="1"/>
  <c r="A727" i="4"/>
  <c r="A726" i="4"/>
  <c r="B726" i="4" s="1"/>
  <c r="C726" i="4" s="1"/>
  <c r="A725" i="4"/>
  <c r="B725" i="4" s="1"/>
  <c r="C725" i="4" s="1"/>
  <c r="B724" i="4"/>
  <c r="C724" i="4" s="1"/>
  <c r="A724" i="4"/>
  <c r="E723" i="4"/>
  <c r="B723" i="4"/>
  <c r="C723" i="4" s="1"/>
  <c r="D723" i="4" s="1"/>
  <c r="A723" i="4"/>
  <c r="A722" i="4"/>
  <c r="B722" i="4" s="1"/>
  <c r="C722" i="4" s="1"/>
  <c r="D721" i="4"/>
  <c r="A721" i="4"/>
  <c r="B721" i="4" s="1"/>
  <c r="C721" i="4" s="1"/>
  <c r="E721" i="4" s="1"/>
  <c r="B720" i="4"/>
  <c r="C720" i="4" s="1"/>
  <c r="E720" i="4" s="1"/>
  <c r="A720" i="4"/>
  <c r="A719" i="4"/>
  <c r="B719" i="4" s="1"/>
  <c r="C719" i="4" s="1"/>
  <c r="C718" i="4"/>
  <c r="B718" i="4"/>
  <c r="A718" i="4"/>
  <c r="C717" i="4"/>
  <c r="A717" i="4"/>
  <c r="B717" i="4" s="1"/>
  <c r="C716" i="4"/>
  <c r="B716" i="4"/>
  <c r="A716" i="4"/>
  <c r="A715" i="4"/>
  <c r="B715" i="4" s="1"/>
  <c r="C715" i="4" s="1"/>
  <c r="B714" i="4"/>
  <c r="C714" i="4" s="1"/>
  <c r="D714" i="4" s="1"/>
  <c r="A714" i="4"/>
  <c r="B713" i="4"/>
  <c r="C713" i="4" s="1"/>
  <c r="A713" i="4"/>
  <c r="B712" i="4"/>
  <c r="C712" i="4" s="1"/>
  <c r="A712" i="4"/>
  <c r="E711" i="4"/>
  <c r="A711" i="4"/>
  <c r="B711" i="4" s="1"/>
  <c r="C711" i="4" s="1"/>
  <c r="D711" i="4" s="1"/>
  <c r="C710" i="4"/>
  <c r="A710" i="4"/>
  <c r="B710" i="4" s="1"/>
  <c r="A709" i="4"/>
  <c r="B709" i="4" s="1"/>
  <c r="C709" i="4" s="1"/>
  <c r="E708" i="4"/>
  <c r="C708" i="4"/>
  <c r="D708" i="4" s="1"/>
  <c r="B708" i="4"/>
  <c r="A708" i="4"/>
  <c r="C707" i="4"/>
  <c r="B707" i="4"/>
  <c r="A707" i="4"/>
  <c r="C706" i="4"/>
  <c r="B706" i="4"/>
  <c r="A706" i="4"/>
  <c r="E705" i="4"/>
  <c r="B705" i="4"/>
  <c r="C705" i="4" s="1"/>
  <c r="D705" i="4" s="1"/>
  <c r="A705" i="4"/>
  <c r="E704" i="4"/>
  <c r="A704" i="4"/>
  <c r="B704" i="4" s="1"/>
  <c r="C704" i="4" s="1"/>
  <c r="D704" i="4" s="1"/>
  <c r="A703" i="4"/>
  <c r="B703" i="4" s="1"/>
  <c r="C703" i="4" s="1"/>
  <c r="A702" i="4"/>
  <c r="B702" i="4" s="1"/>
  <c r="C702" i="4" s="1"/>
  <c r="E702" i="4" s="1"/>
  <c r="E701" i="4"/>
  <c r="D701" i="4"/>
  <c r="C701" i="4"/>
  <c r="A701" i="4"/>
  <c r="B701" i="4" s="1"/>
  <c r="B700" i="4"/>
  <c r="C700" i="4" s="1"/>
  <c r="A700" i="4"/>
  <c r="C699" i="4"/>
  <c r="A699" i="4"/>
  <c r="B699" i="4" s="1"/>
  <c r="B698" i="4"/>
  <c r="C698" i="4" s="1"/>
  <c r="A698" i="4"/>
  <c r="C697" i="4"/>
  <c r="A697" i="4"/>
  <c r="B697" i="4" s="1"/>
  <c r="A696" i="4"/>
  <c r="B696" i="4" s="1"/>
  <c r="C696" i="4" s="1"/>
  <c r="A695" i="4"/>
  <c r="B695" i="4" s="1"/>
  <c r="C695" i="4" s="1"/>
  <c r="D694" i="4"/>
  <c r="A694" i="4"/>
  <c r="B694" i="4" s="1"/>
  <c r="C694" i="4" s="1"/>
  <c r="E694" i="4" s="1"/>
  <c r="D693" i="4"/>
  <c r="B693" i="4"/>
  <c r="C693" i="4" s="1"/>
  <c r="E693" i="4" s="1"/>
  <c r="A693" i="4"/>
  <c r="E692" i="4"/>
  <c r="D692" i="4"/>
  <c r="A692" i="4"/>
  <c r="B692" i="4" s="1"/>
  <c r="C692" i="4" s="1"/>
  <c r="C691" i="4"/>
  <c r="B691" i="4"/>
  <c r="A691" i="4"/>
  <c r="C690" i="4"/>
  <c r="B690" i="4"/>
  <c r="A690" i="4"/>
  <c r="A689" i="4"/>
  <c r="B689" i="4" s="1"/>
  <c r="C689" i="4" s="1"/>
  <c r="B688" i="4"/>
  <c r="C688" i="4" s="1"/>
  <c r="A688" i="4"/>
  <c r="A687" i="4"/>
  <c r="B687" i="4" s="1"/>
  <c r="C687" i="4" s="1"/>
  <c r="D686" i="4"/>
  <c r="C686" i="4"/>
  <c r="E686" i="4" s="1"/>
  <c r="B686" i="4"/>
  <c r="A686" i="4"/>
  <c r="C685" i="4"/>
  <c r="A685" i="4"/>
  <c r="B685" i="4" s="1"/>
  <c r="C684" i="4"/>
  <c r="A684" i="4"/>
  <c r="B684" i="4" s="1"/>
  <c r="A683" i="4"/>
  <c r="B683" i="4" s="1"/>
  <c r="C683" i="4" s="1"/>
  <c r="B682" i="4"/>
  <c r="C682" i="4" s="1"/>
  <c r="E682" i="4" s="1"/>
  <c r="A682" i="4"/>
  <c r="B681" i="4"/>
  <c r="C681" i="4" s="1"/>
  <c r="A681" i="4"/>
  <c r="A680" i="4"/>
  <c r="B680" i="4" s="1"/>
  <c r="C680" i="4" s="1"/>
  <c r="E679" i="4"/>
  <c r="B679" i="4"/>
  <c r="C679" i="4" s="1"/>
  <c r="D679" i="4" s="1"/>
  <c r="A679" i="4"/>
  <c r="A678" i="4"/>
  <c r="B678" i="4" s="1"/>
  <c r="C678" i="4" s="1"/>
  <c r="B677" i="4"/>
  <c r="C677" i="4" s="1"/>
  <c r="A677" i="4"/>
  <c r="D676" i="4"/>
  <c r="C676" i="4"/>
  <c r="E676" i="4" s="1"/>
  <c r="A676" i="4"/>
  <c r="B676" i="4" s="1"/>
  <c r="E675" i="4"/>
  <c r="D675" i="4"/>
  <c r="C675" i="4"/>
  <c r="A675" i="4"/>
  <c r="B675" i="4" s="1"/>
  <c r="A674" i="4"/>
  <c r="B674" i="4" s="1"/>
  <c r="C674" i="4" s="1"/>
  <c r="E673" i="4"/>
  <c r="D673" i="4"/>
  <c r="A673" i="4"/>
  <c r="B673" i="4" s="1"/>
  <c r="C673" i="4" s="1"/>
  <c r="D672" i="4"/>
  <c r="A672" i="4"/>
  <c r="B672" i="4" s="1"/>
  <c r="C672" i="4" s="1"/>
  <c r="E672" i="4" s="1"/>
  <c r="B671" i="4"/>
  <c r="C671" i="4" s="1"/>
  <c r="A671" i="4"/>
  <c r="E670" i="4"/>
  <c r="A670" i="4"/>
  <c r="B670" i="4" s="1"/>
  <c r="C670" i="4" s="1"/>
  <c r="D670" i="4" s="1"/>
  <c r="A669" i="4"/>
  <c r="B669" i="4" s="1"/>
  <c r="C669" i="4" s="1"/>
  <c r="E668" i="4"/>
  <c r="A668" i="4"/>
  <c r="B668" i="4" s="1"/>
  <c r="C668" i="4" s="1"/>
  <c r="D668" i="4" s="1"/>
  <c r="C667" i="4"/>
  <c r="E667" i="4" s="1"/>
  <c r="B667" i="4"/>
  <c r="A667" i="4"/>
  <c r="E666" i="4"/>
  <c r="A666" i="4"/>
  <c r="B666" i="4" s="1"/>
  <c r="C666" i="4" s="1"/>
  <c r="D666" i="4" s="1"/>
  <c r="E665" i="4"/>
  <c r="D665" i="4"/>
  <c r="B665" i="4"/>
  <c r="C665" i="4" s="1"/>
  <c r="A665" i="4"/>
  <c r="C664" i="4"/>
  <c r="B664" i="4"/>
  <c r="A664" i="4"/>
  <c r="B663" i="4"/>
  <c r="C663" i="4" s="1"/>
  <c r="A663" i="4"/>
  <c r="A662" i="4"/>
  <c r="B662" i="4" s="1"/>
  <c r="C662" i="4" s="1"/>
  <c r="A661" i="4"/>
  <c r="B661" i="4" s="1"/>
  <c r="C661" i="4" s="1"/>
  <c r="E660" i="4"/>
  <c r="C660" i="4"/>
  <c r="D660" i="4" s="1"/>
  <c r="B660" i="4"/>
  <c r="A660" i="4"/>
  <c r="E659" i="4"/>
  <c r="D659" i="4"/>
  <c r="C659" i="4"/>
  <c r="B659" i="4"/>
  <c r="A659" i="4"/>
  <c r="B658" i="4"/>
  <c r="C658" i="4" s="1"/>
  <c r="A658" i="4"/>
  <c r="B657" i="4"/>
  <c r="C657" i="4" s="1"/>
  <c r="D657" i="4" s="1"/>
  <c r="A657" i="4"/>
  <c r="E656" i="4"/>
  <c r="D656" i="4"/>
  <c r="C656" i="4"/>
  <c r="B656" i="4"/>
  <c r="A656" i="4"/>
  <c r="A655" i="4"/>
  <c r="B655" i="4" s="1"/>
  <c r="C655" i="4" s="1"/>
  <c r="A654" i="4"/>
  <c r="B654" i="4" s="1"/>
  <c r="C654" i="4" s="1"/>
  <c r="B653" i="4"/>
  <c r="C653" i="4" s="1"/>
  <c r="A653" i="4"/>
  <c r="A652" i="4"/>
  <c r="B652" i="4" s="1"/>
  <c r="C652" i="4" s="1"/>
  <c r="E651" i="4"/>
  <c r="B651" i="4"/>
  <c r="C651" i="4" s="1"/>
  <c r="D651" i="4" s="1"/>
  <c r="A651" i="4"/>
  <c r="E650" i="4"/>
  <c r="B650" i="4"/>
  <c r="C650" i="4" s="1"/>
  <c r="D650" i="4" s="1"/>
  <c r="A650" i="4"/>
  <c r="B649" i="4"/>
  <c r="C649" i="4" s="1"/>
  <c r="A649" i="4"/>
  <c r="D648" i="4"/>
  <c r="C648" i="4"/>
  <c r="E648" i="4" s="1"/>
  <c r="B648" i="4"/>
  <c r="A648" i="4"/>
  <c r="C647" i="4"/>
  <c r="E647" i="4" s="1"/>
  <c r="B647" i="4"/>
  <c r="A647" i="4"/>
  <c r="D646" i="4"/>
  <c r="C646" i="4"/>
  <c r="E646" i="4" s="1"/>
  <c r="A646" i="4"/>
  <c r="B646" i="4" s="1"/>
  <c r="B645" i="4"/>
  <c r="C645" i="4" s="1"/>
  <c r="A645" i="4"/>
  <c r="A644" i="4"/>
  <c r="B644" i="4" s="1"/>
  <c r="C644" i="4" s="1"/>
  <c r="C643" i="4"/>
  <c r="D643" i="4" s="1"/>
  <c r="B643" i="4"/>
  <c r="A643" i="4"/>
  <c r="C642" i="4"/>
  <c r="B642" i="4"/>
  <c r="A642" i="4"/>
  <c r="A641" i="4"/>
  <c r="B641" i="4" s="1"/>
  <c r="C641" i="4" s="1"/>
  <c r="A640" i="4"/>
  <c r="B640" i="4" s="1"/>
  <c r="C640" i="4" s="1"/>
  <c r="B639" i="4"/>
  <c r="C639" i="4" s="1"/>
  <c r="A639" i="4"/>
  <c r="A638" i="4"/>
  <c r="B638" i="4" s="1"/>
  <c r="C638" i="4" s="1"/>
  <c r="E637" i="4"/>
  <c r="C637" i="4"/>
  <c r="D637" i="4" s="1"/>
  <c r="B637" i="4"/>
  <c r="A637" i="4"/>
  <c r="E636" i="4"/>
  <c r="A636" i="4"/>
  <c r="B636" i="4" s="1"/>
  <c r="C636" i="4" s="1"/>
  <c r="D636" i="4" s="1"/>
  <c r="E635" i="4"/>
  <c r="D635" i="4"/>
  <c r="C635" i="4"/>
  <c r="B635" i="4"/>
  <c r="A635" i="4"/>
  <c r="B634" i="4"/>
  <c r="C634" i="4" s="1"/>
  <c r="A634" i="4"/>
  <c r="B633" i="4"/>
  <c r="C633" i="4" s="1"/>
  <c r="A633" i="4"/>
  <c r="E632" i="4"/>
  <c r="D632" i="4"/>
  <c r="C632" i="4"/>
  <c r="B632" i="4"/>
  <c r="A632" i="4"/>
  <c r="D631" i="4"/>
  <c r="C631" i="4"/>
  <c r="E631" i="4" s="1"/>
  <c r="A631" i="4"/>
  <c r="B631" i="4" s="1"/>
  <c r="D630" i="4"/>
  <c r="C630" i="4"/>
  <c r="E630" i="4" s="1"/>
  <c r="A630" i="4"/>
  <c r="B630" i="4" s="1"/>
  <c r="A629" i="4"/>
  <c r="B629" i="4" s="1"/>
  <c r="C629" i="4" s="1"/>
  <c r="E628" i="4"/>
  <c r="C628" i="4"/>
  <c r="D628" i="4" s="1"/>
  <c r="B628" i="4"/>
  <c r="A628" i="4"/>
  <c r="B627" i="4"/>
  <c r="C627" i="4" s="1"/>
  <c r="A627" i="4"/>
  <c r="C626" i="4"/>
  <c r="A626" i="4"/>
  <c r="B626" i="4" s="1"/>
  <c r="A625" i="4"/>
  <c r="B625" i="4" s="1"/>
  <c r="C625" i="4" s="1"/>
  <c r="B624" i="4"/>
  <c r="C624" i="4" s="1"/>
  <c r="A624" i="4"/>
  <c r="A623" i="4"/>
  <c r="B623" i="4" s="1"/>
  <c r="C623" i="4" s="1"/>
  <c r="E622" i="4"/>
  <c r="D622" i="4"/>
  <c r="B622" i="4"/>
  <c r="C622" i="4" s="1"/>
  <c r="A622" i="4"/>
  <c r="A621" i="4"/>
  <c r="B621" i="4" s="1"/>
  <c r="C621" i="4" s="1"/>
  <c r="E620" i="4"/>
  <c r="C620" i="4"/>
  <c r="D620" i="4" s="1"/>
  <c r="A620" i="4"/>
  <c r="B620" i="4" s="1"/>
  <c r="B619" i="4"/>
  <c r="C619" i="4" s="1"/>
  <c r="A619" i="4"/>
  <c r="C618" i="4"/>
  <c r="B618" i="4"/>
  <c r="A618" i="4"/>
  <c r="B617" i="4"/>
  <c r="C617" i="4" s="1"/>
  <c r="A617" i="4"/>
  <c r="D616" i="4"/>
  <c r="A616" i="4"/>
  <c r="B616" i="4" s="1"/>
  <c r="C616" i="4" s="1"/>
  <c r="E616" i="4" s="1"/>
  <c r="E615" i="4"/>
  <c r="D615" i="4"/>
  <c r="B615" i="4"/>
  <c r="C615" i="4" s="1"/>
  <c r="A615" i="4"/>
  <c r="A614" i="4"/>
  <c r="B614" i="4" s="1"/>
  <c r="C614" i="4" s="1"/>
  <c r="B613" i="4"/>
  <c r="C613" i="4" s="1"/>
  <c r="A613" i="4"/>
  <c r="A612" i="4"/>
  <c r="B612" i="4" s="1"/>
  <c r="C612" i="4" s="1"/>
  <c r="B611" i="4"/>
  <c r="C611" i="4" s="1"/>
  <c r="E611" i="4" s="1"/>
  <c r="A611" i="4"/>
  <c r="A610" i="4"/>
  <c r="B610" i="4" s="1"/>
  <c r="C610" i="4" s="1"/>
  <c r="E609" i="4"/>
  <c r="D609" i="4"/>
  <c r="A609" i="4"/>
  <c r="B609" i="4" s="1"/>
  <c r="C609" i="4" s="1"/>
  <c r="E608" i="4"/>
  <c r="D608" i="4"/>
  <c r="B608" i="4"/>
  <c r="C608" i="4" s="1"/>
  <c r="A608" i="4"/>
  <c r="A607" i="4"/>
  <c r="B607" i="4" s="1"/>
  <c r="C607" i="4" s="1"/>
  <c r="E606" i="4"/>
  <c r="C606" i="4"/>
  <c r="D606" i="4" s="1"/>
  <c r="B606" i="4"/>
  <c r="A606" i="4"/>
  <c r="B605" i="4"/>
  <c r="C605" i="4" s="1"/>
  <c r="A605" i="4"/>
  <c r="A604" i="4"/>
  <c r="B604" i="4" s="1"/>
  <c r="C604" i="4" s="1"/>
  <c r="B603" i="4"/>
  <c r="C603" i="4" s="1"/>
  <c r="A603" i="4"/>
  <c r="D602" i="4"/>
  <c r="C602" i="4"/>
  <c r="E602" i="4" s="1"/>
  <c r="A602" i="4"/>
  <c r="B602" i="4" s="1"/>
  <c r="B601" i="4"/>
  <c r="C601" i="4" s="1"/>
  <c r="A601" i="4"/>
  <c r="B600" i="4"/>
  <c r="C600" i="4" s="1"/>
  <c r="A600" i="4"/>
  <c r="B599" i="4"/>
  <c r="C599" i="4" s="1"/>
  <c r="A599" i="4"/>
  <c r="C598" i="4"/>
  <c r="A598" i="4"/>
  <c r="B598" i="4" s="1"/>
  <c r="A597" i="4"/>
  <c r="B597" i="4" s="1"/>
  <c r="C597" i="4" s="1"/>
  <c r="B596" i="4"/>
  <c r="C596" i="4" s="1"/>
  <c r="D596" i="4" s="1"/>
  <c r="A596" i="4"/>
  <c r="D595" i="4"/>
  <c r="C595" i="4"/>
  <c r="E595" i="4" s="1"/>
  <c r="B595" i="4"/>
  <c r="A595" i="4"/>
  <c r="B594" i="4"/>
  <c r="C594" i="4" s="1"/>
  <c r="A594" i="4"/>
  <c r="C593" i="4"/>
  <c r="E593" i="4" s="1"/>
  <c r="B593" i="4"/>
  <c r="A593" i="4"/>
  <c r="E592" i="4"/>
  <c r="A592" i="4"/>
  <c r="B592" i="4" s="1"/>
  <c r="C592" i="4" s="1"/>
  <c r="D592" i="4" s="1"/>
  <c r="A591" i="4"/>
  <c r="B591" i="4" s="1"/>
  <c r="C591" i="4" s="1"/>
  <c r="E590" i="4"/>
  <c r="D590" i="4"/>
  <c r="B590" i="4"/>
  <c r="C590" i="4" s="1"/>
  <c r="A590" i="4"/>
  <c r="B589" i="4"/>
  <c r="C589" i="4" s="1"/>
  <c r="A589" i="4"/>
  <c r="C588" i="4"/>
  <c r="A588" i="4"/>
  <c r="B588" i="4" s="1"/>
  <c r="A587" i="4"/>
  <c r="B587" i="4" s="1"/>
  <c r="C587" i="4" s="1"/>
  <c r="B586" i="4"/>
  <c r="C586" i="4" s="1"/>
  <c r="A586" i="4"/>
  <c r="E585" i="4"/>
  <c r="D585" i="4"/>
  <c r="B585" i="4"/>
  <c r="C585" i="4" s="1"/>
  <c r="A585" i="4"/>
  <c r="E584" i="4"/>
  <c r="D584" i="4"/>
  <c r="A584" i="4"/>
  <c r="B584" i="4" s="1"/>
  <c r="C584" i="4" s="1"/>
  <c r="E583" i="4"/>
  <c r="A583" i="4"/>
  <c r="B583" i="4" s="1"/>
  <c r="C583" i="4" s="1"/>
  <c r="D583" i="4" s="1"/>
  <c r="E582" i="4"/>
  <c r="A582" i="4"/>
  <c r="B582" i="4" s="1"/>
  <c r="C582" i="4" s="1"/>
  <c r="D582" i="4" s="1"/>
  <c r="C581" i="4"/>
  <c r="B581" i="4"/>
  <c r="A581" i="4"/>
  <c r="B580" i="4"/>
  <c r="C580" i="4" s="1"/>
  <c r="A580" i="4"/>
  <c r="B579" i="4"/>
  <c r="C579" i="4" s="1"/>
  <c r="A579" i="4"/>
  <c r="C578" i="4"/>
  <c r="B578" i="4"/>
  <c r="A578" i="4"/>
  <c r="D577" i="4"/>
  <c r="A577" i="4"/>
  <c r="B577" i="4" s="1"/>
  <c r="C577" i="4" s="1"/>
  <c r="E577" i="4" s="1"/>
  <c r="B576" i="4"/>
  <c r="C576" i="4" s="1"/>
  <c r="A576" i="4"/>
  <c r="A575" i="4"/>
  <c r="B575" i="4" s="1"/>
  <c r="C575" i="4" s="1"/>
  <c r="B574" i="4"/>
  <c r="C574" i="4" s="1"/>
  <c r="A574" i="4"/>
  <c r="A573" i="4"/>
  <c r="B573" i="4" s="1"/>
  <c r="C573" i="4" s="1"/>
  <c r="C572" i="4"/>
  <c r="A572" i="4"/>
  <c r="B572" i="4" s="1"/>
  <c r="C571" i="4"/>
  <c r="E571" i="4" s="1"/>
  <c r="B571" i="4"/>
  <c r="A571" i="4"/>
  <c r="E570" i="4"/>
  <c r="A570" i="4"/>
  <c r="B570" i="4" s="1"/>
  <c r="C570" i="4" s="1"/>
  <c r="D570" i="4" s="1"/>
  <c r="B569" i="4"/>
  <c r="C569" i="4" s="1"/>
  <c r="E569" i="4" s="1"/>
  <c r="A569" i="4"/>
  <c r="A568" i="4"/>
  <c r="B568" i="4" s="1"/>
  <c r="C568" i="4" s="1"/>
  <c r="E568" i="4" s="1"/>
  <c r="A567" i="4"/>
  <c r="B567" i="4" s="1"/>
  <c r="C567" i="4" s="1"/>
  <c r="A566" i="4"/>
  <c r="B566" i="4" s="1"/>
  <c r="C566" i="4" s="1"/>
  <c r="D565" i="4"/>
  <c r="B565" i="4"/>
  <c r="C565" i="4" s="1"/>
  <c r="E565" i="4" s="1"/>
  <c r="A565" i="4"/>
  <c r="E564" i="4"/>
  <c r="D564" i="4"/>
  <c r="C564" i="4"/>
  <c r="B564" i="4"/>
  <c r="A564" i="4"/>
  <c r="E563" i="4"/>
  <c r="D563" i="4"/>
  <c r="C563" i="4"/>
  <c r="B563" i="4"/>
  <c r="A563" i="4"/>
  <c r="B562" i="4"/>
  <c r="C562" i="4" s="1"/>
  <c r="A562" i="4"/>
  <c r="B561" i="4"/>
  <c r="C561" i="4" s="1"/>
  <c r="A561" i="4"/>
  <c r="C560" i="4"/>
  <c r="B560" i="4"/>
  <c r="A560" i="4"/>
  <c r="A559" i="4"/>
  <c r="B559" i="4" s="1"/>
  <c r="C559" i="4" s="1"/>
  <c r="E558" i="4"/>
  <c r="A558" i="4"/>
  <c r="B558" i="4" s="1"/>
  <c r="C558" i="4" s="1"/>
  <c r="D558" i="4" s="1"/>
  <c r="D557" i="4"/>
  <c r="C557" i="4"/>
  <c r="E557" i="4" s="1"/>
  <c r="B557" i="4"/>
  <c r="A557" i="4"/>
  <c r="A556" i="4"/>
  <c r="B556" i="4" s="1"/>
  <c r="C556" i="4" s="1"/>
  <c r="A555" i="4"/>
  <c r="B555" i="4" s="1"/>
  <c r="C555" i="4" s="1"/>
  <c r="D555" i="4" s="1"/>
  <c r="B554" i="4"/>
  <c r="C554" i="4" s="1"/>
  <c r="A554" i="4"/>
  <c r="B553" i="4"/>
  <c r="C553" i="4" s="1"/>
  <c r="D553" i="4" s="1"/>
  <c r="A553" i="4"/>
  <c r="A552" i="4"/>
  <c r="B552" i="4" s="1"/>
  <c r="C552" i="4" s="1"/>
  <c r="D551" i="4"/>
  <c r="A551" i="4"/>
  <c r="B551" i="4" s="1"/>
  <c r="C551" i="4" s="1"/>
  <c r="E551" i="4" s="1"/>
  <c r="A550" i="4"/>
  <c r="B550" i="4" s="1"/>
  <c r="C550" i="4" s="1"/>
  <c r="E549" i="4"/>
  <c r="D549" i="4"/>
  <c r="A549" i="4"/>
  <c r="B549" i="4" s="1"/>
  <c r="C549" i="4" s="1"/>
  <c r="E548" i="4"/>
  <c r="D548" i="4"/>
  <c r="B548" i="4"/>
  <c r="C548" i="4" s="1"/>
  <c r="A548" i="4"/>
  <c r="E547" i="4"/>
  <c r="D547" i="4"/>
  <c r="C547" i="4"/>
  <c r="B547" i="4"/>
  <c r="A547" i="4"/>
  <c r="A546" i="4"/>
  <c r="B546" i="4" s="1"/>
  <c r="C546" i="4" s="1"/>
  <c r="E545" i="4"/>
  <c r="A545" i="4"/>
  <c r="B545" i="4" s="1"/>
  <c r="C545" i="4" s="1"/>
  <c r="D545" i="4" s="1"/>
  <c r="E544" i="4"/>
  <c r="A544" i="4"/>
  <c r="B544" i="4" s="1"/>
  <c r="C544" i="4" s="1"/>
  <c r="D544" i="4" s="1"/>
  <c r="B543" i="4"/>
  <c r="C543" i="4" s="1"/>
  <c r="A543" i="4"/>
  <c r="B542" i="4"/>
  <c r="C542" i="4" s="1"/>
  <c r="A542" i="4"/>
  <c r="A541" i="4"/>
  <c r="B541" i="4" s="1"/>
  <c r="C541" i="4" s="1"/>
  <c r="E540" i="4"/>
  <c r="A540" i="4"/>
  <c r="B540" i="4" s="1"/>
  <c r="C540" i="4" s="1"/>
  <c r="D540" i="4" s="1"/>
  <c r="E539" i="4"/>
  <c r="A539" i="4"/>
  <c r="B539" i="4" s="1"/>
  <c r="C539" i="4" s="1"/>
  <c r="D539" i="4" s="1"/>
  <c r="E538" i="4"/>
  <c r="A538" i="4"/>
  <c r="B538" i="4" s="1"/>
  <c r="C538" i="4" s="1"/>
  <c r="D538" i="4" s="1"/>
  <c r="D537" i="4"/>
  <c r="B537" i="4"/>
  <c r="C537" i="4" s="1"/>
  <c r="E537" i="4" s="1"/>
  <c r="A537" i="4"/>
  <c r="E536" i="4"/>
  <c r="D536" i="4"/>
  <c r="C536" i="4"/>
  <c r="B536" i="4"/>
  <c r="A536" i="4"/>
  <c r="D535" i="4"/>
  <c r="B535" i="4"/>
  <c r="C535" i="4" s="1"/>
  <c r="E535" i="4" s="1"/>
  <c r="A535" i="4"/>
  <c r="E534" i="4"/>
  <c r="A534" i="4"/>
  <c r="B534" i="4" s="1"/>
  <c r="C534" i="4" s="1"/>
  <c r="D534" i="4" s="1"/>
  <c r="D533" i="4"/>
  <c r="C533" i="4"/>
  <c r="E533" i="4" s="1"/>
  <c r="B533" i="4"/>
  <c r="A533" i="4"/>
  <c r="A532" i="4"/>
  <c r="B532" i="4" s="1"/>
  <c r="C532" i="4" s="1"/>
  <c r="B531" i="4"/>
  <c r="C531" i="4" s="1"/>
  <c r="D531" i="4" s="1"/>
  <c r="A531" i="4"/>
  <c r="C530" i="4"/>
  <c r="B530" i="4"/>
  <c r="A530" i="4"/>
  <c r="A529" i="4"/>
  <c r="B529" i="4" s="1"/>
  <c r="C529" i="4" s="1"/>
  <c r="E529" i="4" s="1"/>
  <c r="B528" i="4"/>
  <c r="C528" i="4" s="1"/>
  <c r="A528" i="4"/>
  <c r="A527" i="4"/>
  <c r="B527" i="4" s="1"/>
  <c r="C527" i="4" s="1"/>
  <c r="E526" i="4"/>
  <c r="D526" i="4"/>
  <c r="C526" i="4"/>
  <c r="B526" i="4"/>
  <c r="A526" i="4"/>
  <c r="E525" i="4"/>
  <c r="D525" i="4"/>
  <c r="C525" i="4"/>
  <c r="B525" i="4"/>
  <c r="A525" i="4"/>
  <c r="A524" i="4"/>
  <c r="B524" i="4" s="1"/>
  <c r="C524" i="4" s="1"/>
  <c r="C523" i="4"/>
  <c r="B523" i="4"/>
  <c r="A523" i="4"/>
  <c r="A522" i="4"/>
  <c r="B522" i="4" s="1"/>
  <c r="C522" i="4" s="1"/>
  <c r="E521" i="4"/>
  <c r="B521" i="4"/>
  <c r="C521" i="4" s="1"/>
  <c r="D521" i="4" s="1"/>
  <c r="A521" i="4"/>
  <c r="A520" i="4"/>
  <c r="B520" i="4" s="1"/>
  <c r="C520" i="4" s="1"/>
  <c r="D520" i="4" s="1"/>
  <c r="E519" i="4"/>
  <c r="A519" i="4"/>
  <c r="B519" i="4" s="1"/>
  <c r="C519" i="4" s="1"/>
  <c r="D519" i="4" s="1"/>
  <c r="E518" i="4"/>
  <c r="C518" i="4"/>
  <c r="D518" i="4" s="1"/>
  <c r="A518" i="4"/>
  <c r="B518" i="4" s="1"/>
  <c r="B517" i="4"/>
  <c r="C517" i="4" s="1"/>
  <c r="A517" i="4"/>
  <c r="A516" i="4"/>
  <c r="B516" i="4" s="1"/>
  <c r="C516" i="4" s="1"/>
  <c r="B515" i="4"/>
  <c r="C515" i="4" s="1"/>
  <c r="A515" i="4"/>
  <c r="C514" i="4"/>
  <c r="B514" i="4"/>
  <c r="A514" i="4"/>
  <c r="D513" i="4"/>
  <c r="C513" i="4"/>
  <c r="E513" i="4" s="1"/>
  <c r="A513" i="4"/>
  <c r="B513" i="4" s="1"/>
  <c r="E512" i="4"/>
  <c r="A512" i="4"/>
  <c r="B512" i="4" s="1"/>
  <c r="C512" i="4" s="1"/>
  <c r="D512" i="4" s="1"/>
  <c r="A511" i="4"/>
  <c r="B511" i="4" s="1"/>
  <c r="C511" i="4" s="1"/>
  <c r="E511" i="4" s="1"/>
  <c r="E510" i="4"/>
  <c r="D510" i="4"/>
  <c r="C510" i="4"/>
  <c r="B510" i="4"/>
  <c r="A510" i="4"/>
  <c r="E509" i="4"/>
  <c r="D509" i="4"/>
  <c r="A509" i="4"/>
  <c r="B509" i="4" s="1"/>
  <c r="C509" i="4" s="1"/>
  <c r="B508" i="4"/>
  <c r="C508" i="4" s="1"/>
  <c r="A508" i="4"/>
  <c r="D507" i="4"/>
  <c r="A507" i="4"/>
  <c r="B507" i="4" s="1"/>
  <c r="C507" i="4" s="1"/>
  <c r="E507" i="4" s="1"/>
  <c r="A506" i="4"/>
  <c r="B506" i="4" s="1"/>
  <c r="C506" i="4" s="1"/>
  <c r="A505" i="4"/>
  <c r="B505" i="4" s="1"/>
  <c r="C505" i="4" s="1"/>
  <c r="E504" i="4"/>
  <c r="C504" i="4"/>
  <c r="D504" i="4" s="1"/>
  <c r="B504" i="4"/>
  <c r="A504" i="4"/>
  <c r="E503" i="4"/>
  <c r="D503" i="4"/>
  <c r="A503" i="4"/>
  <c r="B503" i="4" s="1"/>
  <c r="C503" i="4" s="1"/>
  <c r="A502" i="4"/>
  <c r="B502" i="4" s="1"/>
  <c r="C502" i="4" s="1"/>
  <c r="A501" i="4"/>
  <c r="B501" i="4" s="1"/>
  <c r="C501" i="4" s="1"/>
  <c r="D501" i="4" s="1"/>
  <c r="B500" i="4"/>
  <c r="C500" i="4" s="1"/>
  <c r="A500" i="4"/>
  <c r="B499" i="4"/>
  <c r="C499" i="4" s="1"/>
  <c r="A499" i="4"/>
  <c r="C498" i="4"/>
  <c r="E498" i="4" s="1"/>
  <c r="B498" i="4"/>
  <c r="A498" i="4"/>
  <c r="E497" i="4"/>
  <c r="D497" i="4"/>
  <c r="A497" i="4"/>
  <c r="B497" i="4" s="1"/>
  <c r="C497" i="4" s="1"/>
  <c r="C496" i="4"/>
  <c r="B496" i="4"/>
  <c r="A496" i="4"/>
  <c r="A495" i="4"/>
  <c r="B495" i="4" s="1"/>
  <c r="C495" i="4" s="1"/>
  <c r="E494" i="4"/>
  <c r="A494" i="4"/>
  <c r="B494" i="4" s="1"/>
  <c r="C494" i="4" s="1"/>
  <c r="D494" i="4" s="1"/>
  <c r="B493" i="4"/>
  <c r="C493" i="4" s="1"/>
  <c r="E493" i="4" s="1"/>
  <c r="A493" i="4"/>
  <c r="B492" i="4"/>
  <c r="C492" i="4" s="1"/>
  <c r="A492" i="4"/>
  <c r="A491" i="4"/>
  <c r="B491" i="4" s="1"/>
  <c r="C491" i="4" s="1"/>
  <c r="A490" i="4"/>
  <c r="B490" i="4" s="1"/>
  <c r="C490" i="4" s="1"/>
  <c r="E489" i="4"/>
  <c r="A489" i="4"/>
  <c r="B489" i="4" s="1"/>
  <c r="C489" i="4" s="1"/>
  <c r="D489" i="4" s="1"/>
  <c r="D488" i="4"/>
  <c r="C488" i="4"/>
  <c r="E488" i="4" s="1"/>
  <c r="B488" i="4"/>
  <c r="A488" i="4"/>
  <c r="A487" i="4"/>
  <c r="B487" i="4" s="1"/>
  <c r="C487" i="4" s="1"/>
  <c r="E486" i="4"/>
  <c r="A486" i="4"/>
  <c r="B486" i="4" s="1"/>
  <c r="C486" i="4" s="1"/>
  <c r="D486" i="4" s="1"/>
  <c r="A485" i="4"/>
  <c r="B485" i="4" s="1"/>
  <c r="C485" i="4" s="1"/>
  <c r="E484" i="4"/>
  <c r="A484" i="4"/>
  <c r="B484" i="4" s="1"/>
  <c r="C484" i="4" s="1"/>
  <c r="D484" i="4" s="1"/>
  <c r="E483" i="4"/>
  <c r="B483" i="4"/>
  <c r="C483" i="4" s="1"/>
  <c r="D483" i="4" s="1"/>
  <c r="A483" i="4"/>
  <c r="C482" i="4"/>
  <c r="B482" i="4"/>
  <c r="A482" i="4"/>
  <c r="E481" i="4"/>
  <c r="D481" i="4"/>
  <c r="C481" i="4"/>
  <c r="A481" i="4"/>
  <c r="B481" i="4" s="1"/>
  <c r="A480" i="4"/>
  <c r="B480" i="4" s="1"/>
  <c r="C480" i="4" s="1"/>
  <c r="D479" i="4"/>
  <c r="A479" i="4"/>
  <c r="B479" i="4" s="1"/>
  <c r="C479" i="4" s="1"/>
  <c r="E479" i="4" s="1"/>
  <c r="D478" i="4"/>
  <c r="C478" i="4"/>
  <c r="E478" i="4" s="1"/>
  <c r="B478" i="4"/>
  <c r="A478" i="4"/>
  <c r="A477" i="4"/>
  <c r="B477" i="4" s="1"/>
  <c r="C477" i="4" s="1"/>
  <c r="E477" i="4" s="1"/>
  <c r="A476" i="4"/>
  <c r="B476" i="4" s="1"/>
  <c r="C476" i="4" s="1"/>
  <c r="D476" i="4" s="1"/>
  <c r="E475" i="4"/>
  <c r="D475" i="4"/>
  <c r="C475" i="4"/>
  <c r="B475" i="4"/>
  <c r="A475" i="4"/>
  <c r="B474" i="4"/>
  <c r="C474" i="4" s="1"/>
  <c r="E474" i="4" s="1"/>
  <c r="A474" i="4"/>
  <c r="B473" i="4"/>
  <c r="C473" i="4" s="1"/>
  <c r="A473" i="4"/>
  <c r="B472" i="4"/>
  <c r="C472" i="4" s="1"/>
  <c r="A472" i="4"/>
  <c r="C471" i="4"/>
  <c r="B471" i="4"/>
  <c r="A471" i="4"/>
  <c r="E470" i="4"/>
  <c r="D470" i="4"/>
  <c r="C470" i="4"/>
  <c r="A470" i="4"/>
  <c r="B470" i="4" s="1"/>
  <c r="D469" i="4"/>
  <c r="A469" i="4"/>
  <c r="B469" i="4" s="1"/>
  <c r="C469" i="4" s="1"/>
  <c r="E469" i="4" s="1"/>
  <c r="C468" i="4"/>
  <c r="B468" i="4"/>
  <c r="A468" i="4"/>
  <c r="C467" i="4"/>
  <c r="B467" i="4"/>
  <c r="A467" i="4"/>
  <c r="C466" i="4"/>
  <c r="B466" i="4"/>
  <c r="A466" i="4"/>
  <c r="C465" i="4"/>
  <c r="B465" i="4"/>
  <c r="A465" i="4"/>
  <c r="A464" i="4"/>
  <c r="B464" i="4" s="1"/>
  <c r="C464" i="4" s="1"/>
  <c r="C463" i="4"/>
  <c r="E463" i="4" s="1"/>
  <c r="B463" i="4"/>
  <c r="A463" i="4"/>
  <c r="E462" i="4"/>
  <c r="D462" i="4"/>
  <c r="A462" i="4"/>
  <c r="B462" i="4" s="1"/>
  <c r="C462" i="4" s="1"/>
  <c r="C461" i="4"/>
  <c r="B461" i="4"/>
  <c r="A461" i="4"/>
  <c r="A460" i="4"/>
  <c r="B460" i="4" s="1"/>
  <c r="C460" i="4" s="1"/>
  <c r="B459" i="4"/>
  <c r="C459" i="4" s="1"/>
  <c r="A459" i="4"/>
  <c r="C458" i="4"/>
  <c r="B458" i="4"/>
  <c r="A458" i="4"/>
  <c r="A457" i="4"/>
  <c r="B457" i="4" s="1"/>
  <c r="C457" i="4" s="1"/>
  <c r="E456" i="4"/>
  <c r="D456" i="4"/>
  <c r="A456" i="4"/>
  <c r="B456" i="4" s="1"/>
  <c r="C456" i="4" s="1"/>
  <c r="B455" i="4"/>
  <c r="C455" i="4" s="1"/>
  <c r="D455" i="4" s="1"/>
  <c r="A455" i="4"/>
  <c r="D454" i="4"/>
  <c r="B454" i="4"/>
  <c r="C454" i="4" s="1"/>
  <c r="E454" i="4" s="1"/>
  <c r="A454" i="4"/>
  <c r="B453" i="4"/>
  <c r="C453" i="4" s="1"/>
  <c r="A453" i="4"/>
  <c r="D452" i="4"/>
  <c r="C452" i="4"/>
  <c r="E452" i="4" s="1"/>
  <c r="A452" i="4"/>
  <c r="B452" i="4" s="1"/>
  <c r="D451" i="4"/>
  <c r="C451" i="4"/>
  <c r="E451" i="4" s="1"/>
  <c r="A451" i="4"/>
  <c r="B451" i="4" s="1"/>
  <c r="D450" i="4"/>
  <c r="A450" i="4"/>
  <c r="B450" i="4" s="1"/>
  <c r="C450" i="4" s="1"/>
  <c r="E450" i="4" s="1"/>
  <c r="A449" i="4"/>
  <c r="B449" i="4" s="1"/>
  <c r="C449" i="4" s="1"/>
  <c r="C448" i="4"/>
  <c r="B448" i="4"/>
  <c r="A448" i="4"/>
  <c r="C447" i="4"/>
  <c r="B447" i="4"/>
  <c r="A447" i="4"/>
  <c r="A446" i="4"/>
  <c r="B446" i="4" s="1"/>
  <c r="C446" i="4" s="1"/>
  <c r="E446" i="4" s="1"/>
  <c r="B445" i="4"/>
  <c r="C445" i="4" s="1"/>
  <c r="A445" i="4"/>
  <c r="C444" i="4"/>
  <c r="A444" i="4"/>
  <c r="B444" i="4" s="1"/>
  <c r="B443" i="4"/>
  <c r="C443" i="4" s="1"/>
  <c r="D443" i="4" s="1"/>
  <c r="A443" i="4"/>
  <c r="A442" i="4"/>
  <c r="B442" i="4" s="1"/>
  <c r="C442" i="4" s="1"/>
  <c r="B441" i="4"/>
  <c r="C441" i="4" s="1"/>
  <c r="A441" i="4"/>
  <c r="B440" i="4"/>
  <c r="C440" i="4" s="1"/>
  <c r="A440" i="4"/>
  <c r="A439" i="4"/>
  <c r="B439" i="4" s="1"/>
  <c r="C439" i="4" s="1"/>
  <c r="B438" i="4"/>
  <c r="C438" i="4" s="1"/>
  <c r="A438" i="4"/>
  <c r="A437" i="4"/>
  <c r="B437" i="4" s="1"/>
  <c r="C437" i="4" s="1"/>
  <c r="C436" i="4"/>
  <c r="B436" i="4"/>
  <c r="A436" i="4"/>
  <c r="E435" i="4"/>
  <c r="D435" i="4"/>
  <c r="A435" i="4"/>
  <c r="B435" i="4" s="1"/>
  <c r="C435" i="4" s="1"/>
  <c r="D434" i="4"/>
  <c r="A434" i="4"/>
  <c r="B434" i="4" s="1"/>
  <c r="C434" i="4" s="1"/>
  <c r="E434" i="4" s="1"/>
  <c r="E433" i="4"/>
  <c r="D433" i="4"/>
  <c r="C433" i="4"/>
  <c r="B433" i="4"/>
  <c r="A433" i="4"/>
  <c r="C432" i="4"/>
  <c r="B432" i="4"/>
  <c r="A432" i="4"/>
  <c r="A431" i="4"/>
  <c r="B431" i="4" s="1"/>
  <c r="C431" i="4" s="1"/>
  <c r="B430" i="4"/>
  <c r="C430" i="4" s="1"/>
  <c r="D430" i="4" s="1"/>
  <c r="A430" i="4"/>
  <c r="B429" i="4"/>
  <c r="C429" i="4" s="1"/>
  <c r="A429" i="4"/>
  <c r="A428" i="4"/>
  <c r="B428" i="4" s="1"/>
  <c r="C428" i="4" s="1"/>
  <c r="E427" i="4"/>
  <c r="C427" i="4"/>
  <c r="D427" i="4" s="1"/>
  <c r="B427" i="4"/>
  <c r="A427" i="4"/>
  <c r="E426" i="4"/>
  <c r="D426" i="4"/>
  <c r="C426" i="4"/>
  <c r="B426" i="4"/>
  <c r="A426" i="4"/>
  <c r="A425" i="4"/>
  <c r="B425" i="4" s="1"/>
  <c r="C425" i="4" s="1"/>
  <c r="D425" i="4" s="1"/>
  <c r="C424" i="4"/>
  <c r="B424" i="4"/>
  <c r="A424" i="4"/>
  <c r="A423" i="4"/>
  <c r="B423" i="4" s="1"/>
  <c r="C423" i="4" s="1"/>
  <c r="D423" i="4" s="1"/>
  <c r="A422" i="4"/>
  <c r="B422" i="4" s="1"/>
  <c r="C422" i="4" s="1"/>
  <c r="D421" i="4"/>
  <c r="C421" i="4"/>
  <c r="E421" i="4" s="1"/>
  <c r="B421" i="4"/>
  <c r="A421" i="4"/>
  <c r="B420" i="4"/>
  <c r="C420" i="4" s="1"/>
  <c r="A420" i="4"/>
  <c r="E419" i="4"/>
  <c r="D419" i="4"/>
  <c r="C419" i="4"/>
  <c r="A419" i="4"/>
  <c r="B419" i="4" s="1"/>
  <c r="A418" i="4"/>
  <c r="B418" i="4" s="1"/>
  <c r="C418" i="4" s="1"/>
  <c r="C417" i="4"/>
  <c r="B417" i="4"/>
  <c r="A417" i="4"/>
  <c r="C416" i="4"/>
  <c r="B416" i="4"/>
  <c r="A416" i="4"/>
  <c r="A415" i="4"/>
  <c r="B415" i="4" s="1"/>
  <c r="C415" i="4" s="1"/>
  <c r="B414" i="4"/>
  <c r="C414" i="4" s="1"/>
  <c r="A414" i="4"/>
  <c r="A413" i="4"/>
  <c r="B413" i="4" s="1"/>
  <c r="C413" i="4" s="1"/>
  <c r="D413" i="4" s="1"/>
  <c r="B412" i="4"/>
  <c r="C412" i="4" s="1"/>
  <c r="A412" i="4"/>
  <c r="A411" i="4"/>
  <c r="B411" i="4" s="1"/>
  <c r="C411" i="4" s="1"/>
  <c r="B410" i="4"/>
  <c r="C410" i="4" s="1"/>
  <c r="E410" i="4" s="1"/>
  <c r="A410" i="4"/>
  <c r="B409" i="4"/>
  <c r="C409" i="4" s="1"/>
  <c r="A409" i="4"/>
  <c r="D408" i="4"/>
  <c r="C408" i="4"/>
  <c r="E408" i="4" s="1"/>
  <c r="B408" i="4"/>
  <c r="A408" i="4"/>
  <c r="E407" i="4"/>
  <c r="D407" i="4"/>
  <c r="B407" i="4"/>
  <c r="C407" i="4" s="1"/>
  <c r="A407" i="4"/>
  <c r="E406" i="4"/>
  <c r="A406" i="4"/>
  <c r="B406" i="4" s="1"/>
  <c r="C406" i="4" s="1"/>
  <c r="D406" i="4" s="1"/>
  <c r="A405" i="4"/>
  <c r="B405" i="4" s="1"/>
  <c r="C405" i="4" s="1"/>
  <c r="E404" i="4"/>
  <c r="D404" i="4"/>
  <c r="A404" i="4"/>
  <c r="B404" i="4" s="1"/>
  <c r="C404" i="4" s="1"/>
  <c r="C403" i="4"/>
  <c r="D403" i="4" s="1"/>
  <c r="B403" i="4"/>
  <c r="A403" i="4"/>
  <c r="E402" i="4"/>
  <c r="D402" i="4"/>
  <c r="B402" i="4"/>
  <c r="C402" i="4" s="1"/>
  <c r="A402" i="4"/>
  <c r="A401" i="4"/>
  <c r="B401" i="4" s="1"/>
  <c r="C401" i="4" s="1"/>
  <c r="E401" i="4" s="1"/>
  <c r="D400" i="4"/>
  <c r="C400" i="4"/>
  <c r="E400" i="4" s="1"/>
  <c r="B400" i="4"/>
  <c r="A400" i="4"/>
  <c r="C399" i="4"/>
  <c r="A399" i="4"/>
  <c r="B399" i="4" s="1"/>
  <c r="E398" i="4"/>
  <c r="B398" i="4"/>
  <c r="C398" i="4" s="1"/>
  <c r="D398" i="4" s="1"/>
  <c r="A398" i="4"/>
  <c r="E397" i="4"/>
  <c r="D397" i="4"/>
  <c r="C397" i="4"/>
  <c r="A397" i="4"/>
  <c r="B397" i="4" s="1"/>
  <c r="C396" i="4"/>
  <c r="B396" i="4"/>
  <c r="A396" i="4"/>
  <c r="B395" i="4"/>
  <c r="C395" i="4" s="1"/>
  <c r="E395" i="4" s="1"/>
  <c r="A395" i="4"/>
  <c r="D394" i="4"/>
  <c r="C394" i="4"/>
  <c r="E394" i="4" s="1"/>
  <c r="B394" i="4"/>
  <c r="A394" i="4"/>
  <c r="A393" i="4"/>
  <c r="B393" i="4" s="1"/>
  <c r="C393" i="4" s="1"/>
  <c r="D393" i="4" s="1"/>
  <c r="A392" i="4"/>
  <c r="B392" i="4" s="1"/>
  <c r="C392" i="4" s="1"/>
  <c r="E391" i="4"/>
  <c r="D391" i="4"/>
  <c r="C391" i="4"/>
  <c r="B391" i="4"/>
  <c r="A391" i="4"/>
  <c r="A390" i="4"/>
  <c r="B390" i="4" s="1"/>
  <c r="C390" i="4" s="1"/>
  <c r="E390" i="4" s="1"/>
  <c r="E389" i="4"/>
  <c r="C389" i="4"/>
  <c r="D389" i="4" s="1"/>
  <c r="A389" i="4"/>
  <c r="B389" i="4" s="1"/>
  <c r="E388" i="4"/>
  <c r="C388" i="4"/>
  <c r="D388" i="4" s="1"/>
  <c r="B388" i="4"/>
  <c r="A388" i="4"/>
  <c r="E387" i="4"/>
  <c r="D387" i="4"/>
  <c r="C387" i="4"/>
  <c r="B387" i="4"/>
  <c r="A387" i="4"/>
  <c r="A386" i="4"/>
  <c r="B386" i="4" s="1"/>
  <c r="C386" i="4" s="1"/>
  <c r="D385" i="4"/>
  <c r="C385" i="4"/>
  <c r="E385" i="4" s="1"/>
  <c r="A385" i="4"/>
  <c r="B385" i="4" s="1"/>
  <c r="E384" i="4"/>
  <c r="D384" i="4"/>
  <c r="C384" i="4"/>
  <c r="B384" i="4"/>
  <c r="A384" i="4"/>
  <c r="A383" i="4"/>
  <c r="B383" i="4" s="1"/>
  <c r="C383" i="4" s="1"/>
  <c r="D382" i="4"/>
  <c r="A382" i="4"/>
  <c r="B382" i="4" s="1"/>
  <c r="C382" i="4" s="1"/>
  <c r="E382" i="4" s="1"/>
  <c r="B381" i="4"/>
  <c r="C381" i="4" s="1"/>
  <c r="A381" i="4"/>
  <c r="C380" i="4"/>
  <c r="B380" i="4"/>
  <c r="A380" i="4"/>
  <c r="C379" i="4"/>
  <c r="B379" i="4"/>
  <c r="A379" i="4"/>
  <c r="D378" i="4"/>
  <c r="A378" i="4"/>
  <c r="B378" i="4" s="1"/>
  <c r="C378" i="4" s="1"/>
  <c r="E378" i="4" s="1"/>
  <c r="B377" i="4"/>
  <c r="C377" i="4" s="1"/>
  <c r="A377" i="4"/>
  <c r="A376" i="4"/>
  <c r="B376" i="4" s="1"/>
  <c r="C376" i="4" s="1"/>
  <c r="A375" i="4"/>
  <c r="B375" i="4" s="1"/>
  <c r="C375" i="4" s="1"/>
  <c r="E375" i="4" s="1"/>
  <c r="C374" i="4"/>
  <c r="D374" i="4" s="1"/>
  <c r="A374" i="4"/>
  <c r="B374" i="4" s="1"/>
  <c r="E373" i="4"/>
  <c r="B373" i="4"/>
  <c r="C373" i="4" s="1"/>
  <c r="D373" i="4" s="1"/>
  <c r="A373" i="4"/>
  <c r="D372" i="4"/>
  <c r="C372" i="4"/>
  <c r="E372" i="4" s="1"/>
  <c r="B372" i="4"/>
  <c r="A372" i="4"/>
  <c r="B371" i="4"/>
  <c r="C371" i="4" s="1"/>
  <c r="D371" i="4" s="1"/>
  <c r="A371" i="4"/>
  <c r="B370" i="4"/>
  <c r="C370" i="4" s="1"/>
  <c r="E370" i="4" s="1"/>
  <c r="A370" i="4"/>
  <c r="A369" i="4"/>
  <c r="B369" i="4" s="1"/>
  <c r="C369" i="4" s="1"/>
  <c r="E368" i="4"/>
  <c r="D368" i="4"/>
  <c r="C368" i="4"/>
  <c r="A368" i="4"/>
  <c r="B368" i="4" s="1"/>
  <c r="A367" i="4"/>
  <c r="B367" i="4" s="1"/>
  <c r="C367" i="4" s="1"/>
  <c r="B366" i="4"/>
  <c r="C366" i="4" s="1"/>
  <c r="A366" i="4"/>
  <c r="D365" i="4"/>
  <c r="B365" i="4"/>
  <c r="C365" i="4" s="1"/>
  <c r="E365" i="4" s="1"/>
  <c r="A365" i="4"/>
  <c r="B364" i="4"/>
  <c r="C364" i="4" s="1"/>
  <c r="A364" i="4"/>
  <c r="A363" i="4"/>
  <c r="B363" i="4" s="1"/>
  <c r="C363" i="4" s="1"/>
  <c r="E362" i="4"/>
  <c r="B362" i="4"/>
  <c r="C362" i="4" s="1"/>
  <c r="D362" i="4" s="1"/>
  <c r="A362" i="4"/>
  <c r="D361" i="4"/>
  <c r="B361" i="4"/>
  <c r="C361" i="4" s="1"/>
  <c r="E361" i="4" s="1"/>
  <c r="A361" i="4"/>
  <c r="A360" i="4"/>
  <c r="B360" i="4" s="1"/>
  <c r="C360" i="4" s="1"/>
  <c r="E359" i="4"/>
  <c r="D359" i="4"/>
  <c r="C359" i="4"/>
  <c r="B359" i="4"/>
  <c r="A359" i="4"/>
  <c r="A358" i="4"/>
  <c r="B358" i="4" s="1"/>
  <c r="C358" i="4" s="1"/>
  <c r="A357" i="4"/>
  <c r="B357" i="4" s="1"/>
  <c r="C357" i="4" s="1"/>
  <c r="E356" i="4"/>
  <c r="B356" i="4"/>
  <c r="C356" i="4" s="1"/>
  <c r="D356" i="4" s="1"/>
  <c r="A356" i="4"/>
  <c r="E355" i="4"/>
  <c r="D355" i="4"/>
  <c r="C355" i="4"/>
  <c r="B355" i="4"/>
  <c r="A355" i="4"/>
  <c r="A354" i="4"/>
  <c r="B354" i="4" s="1"/>
  <c r="C354" i="4" s="1"/>
  <c r="A353" i="4"/>
  <c r="B353" i="4" s="1"/>
  <c r="C353" i="4" s="1"/>
  <c r="C352" i="4"/>
  <c r="D352" i="4" s="1"/>
  <c r="B352" i="4"/>
  <c r="A352" i="4"/>
  <c r="C351" i="4"/>
  <c r="A351" i="4"/>
  <c r="B351" i="4" s="1"/>
  <c r="A350" i="4"/>
  <c r="B350" i="4" s="1"/>
  <c r="C350" i="4" s="1"/>
  <c r="D350" i="4" s="1"/>
  <c r="A349" i="4"/>
  <c r="B349" i="4" s="1"/>
  <c r="C349" i="4" s="1"/>
  <c r="C348" i="4"/>
  <c r="D348" i="4" s="1"/>
  <c r="B348" i="4"/>
  <c r="A348" i="4"/>
  <c r="A347" i="4"/>
  <c r="B347" i="4" s="1"/>
  <c r="C347" i="4" s="1"/>
  <c r="A346" i="4"/>
  <c r="B346" i="4" s="1"/>
  <c r="C346" i="4" s="1"/>
  <c r="E345" i="4"/>
  <c r="D345" i="4"/>
  <c r="A345" i="4"/>
  <c r="B345" i="4" s="1"/>
  <c r="C345" i="4" s="1"/>
  <c r="A344" i="4"/>
  <c r="B344" i="4" s="1"/>
  <c r="C344" i="4" s="1"/>
  <c r="A343" i="4"/>
  <c r="B343" i="4" s="1"/>
  <c r="C343" i="4" s="1"/>
  <c r="E343" i="4" s="1"/>
  <c r="A342" i="4"/>
  <c r="B342" i="4" s="1"/>
  <c r="C342" i="4" s="1"/>
  <c r="D342" i="4" s="1"/>
  <c r="B341" i="4"/>
  <c r="C341" i="4" s="1"/>
  <c r="A341" i="4"/>
  <c r="D340" i="4"/>
  <c r="A340" i="4"/>
  <c r="B340" i="4" s="1"/>
  <c r="C340" i="4" s="1"/>
  <c r="E340" i="4" s="1"/>
  <c r="B339" i="4"/>
  <c r="C339" i="4" s="1"/>
  <c r="A339" i="4"/>
  <c r="D338" i="4"/>
  <c r="B338" i="4"/>
  <c r="C338" i="4" s="1"/>
  <c r="E338" i="4" s="1"/>
  <c r="A338" i="4"/>
  <c r="A337" i="4"/>
  <c r="B337" i="4" s="1"/>
  <c r="C337" i="4" s="1"/>
  <c r="A336" i="4"/>
  <c r="B336" i="4" s="1"/>
  <c r="C336" i="4" s="1"/>
  <c r="A335" i="4"/>
  <c r="B335" i="4" s="1"/>
  <c r="C335" i="4" s="1"/>
  <c r="E335" i="4" s="1"/>
  <c r="B334" i="4"/>
  <c r="C334" i="4" s="1"/>
  <c r="E334" i="4" s="1"/>
  <c r="A334" i="4"/>
  <c r="C333" i="4"/>
  <c r="E333" i="4" s="1"/>
  <c r="B333" i="4"/>
  <c r="A333" i="4"/>
  <c r="E332" i="4"/>
  <c r="B332" i="4"/>
  <c r="C332" i="4" s="1"/>
  <c r="D332" i="4" s="1"/>
  <c r="A332" i="4"/>
  <c r="B331" i="4"/>
  <c r="C331" i="4" s="1"/>
  <c r="A331" i="4"/>
  <c r="B330" i="4"/>
  <c r="C330" i="4" s="1"/>
  <c r="A330" i="4"/>
  <c r="B329" i="4"/>
  <c r="C329" i="4" s="1"/>
  <c r="E329" i="4" s="1"/>
  <c r="A329" i="4"/>
  <c r="A328" i="4"/>
  <c r="B328" i="4" s="1"/>
  <c r="C328" i="4" s="1"/>
  <c r="E327" i="4"/>
  <c r="B327" i="4"/>
  <c r="C327" i="4" s="1"/>
  <c r="D327" i="4" s="1"/>
  <c r="A327" i="4"/>
  <c r="A326" i="4"/>
  <c r="B326" i="4" s="1"/>
  <c r="C326" i="4" s="1"/>
  <c r="E326" i="4" s="1"/>
  <c r="B325" i="4"/>
  <c r="C325" i="4" s="1"/>
  <c r="A325" i="4"/>
  <c r="D324" i="4"/>
  <c r="A324" i="4"/>
  <c r="B324" i="4" s="1"/>
  <c r="C324" i="4" s="1"/>
  <c r="E324" i="4" s="1"/>
  <c r="B323" i="4"/>
  <c r="C323" i="4" s="1"/>
  <c r="A323" i="4"/>
  <c r="D322" i="4"/>
  <c r="C322" i="4"/>
  <c r="E322" i="4" s="1"/>
  <c r="A322" i="4"/>
  <c r="B322" i="4" s="1"/>
  <c r="E321" i="4"/>
  <c r="A321" i="4"/>
  <c r="B321" i="4" s="1"/>
  <c r="C321" i="4" s="1"/>
  <c r="D321" i="4" s="1"/>
  <c r="E320" i="4"/>
  <c r="D320" i="4"/>
  <c r="A320" i="4"/>
  <c r="B320" i="4" s="1"/>
  <c r="C320" i="4" s="1"/>
  <c r="C319" i="4"/>
  <c r="B319" i="4"/>
  <c r="A319" i="4"/>
  <c r="A318" i="4"/>
  <c r="B318" i="4" s="1"/>
  <c r="C318" i="4" s="1"/>
  <c r="C317" i="4"/>
  <c r="D317" i="4" s="1"/>
  <c r="B317" i="4"/>
  <c r="A317" i="4"/>
  <c r="B316" i="4"/>
  <c r="C316" i="4" s="1"/>
  <c r="A316" i="4"/>
  <c r="B315" i="4"/>
  <c r="C315" i="4" s="1"/>
  <c r="A315" i="4"/>
  <c r="B314" i="4"/>
  <c r="C314" i="4" s="1"/>
  <c r="A314" i="4"/>
  <c r="A313" i="4"/>
  <c r="B313" i="4" s="1"/>
  <c r="C313" i="4" s="1"/>
  <c r="B312" i="4"/>
  <c r="C312" i="4" s="1"/>
  <c r="A312" i="4"/>
  <c r="A311" i="4"/>
  <c r="B311" i="4" s="1"/>
  <c r="C311" i="4" s="1"/>
  <c r="A310" i="4"/>
  <c r="B310" i="4" s="1"/>
  <c r="C310" i="4" s="1"/>
  <c r="C309" i="4"/>
  <c r="D309" i="4" s="1"/>
  <c r="A309" i="4"/>
  <c r="B309" i="4" s="1"/>
  <c r="B308" i="4"/>
  <c r="C308" i="4" s="1"/>
  <c r="A308" i="4"/>
  <c r="A307" i="4"/>
  <c r="B307" i="4" s="1"/>
  <c r="C307" i="4" s="1"/>
  <c r="B306" i="4"/>
  <c r="C306" i="4" s="1"/>
  <c r="D306" i="4" s="1"/>
  <c r="A306" i="4"/>
  <c r="A305" i="4"/>
  <c r="B305" i="4" s="1"/>
  <c r="C305" i="4" s="1"/>
  <c r="E305" i="4" s="1"/>
  <c r="C304" i="4"/>
  <c r="E304" i="4" s="1"/>
  <c r="B304" i="4"/>
  <c r="A304" i="4"/>
  <c r="E303" i="4"/>
  <c r="C303" i="4"/>
  <c r="D303" i="4" s="1"/>
  <c r="A303" i="4"/>
  <c r="B303" i="4" s="1"/>
  <c r="C302" i="4"/>
  <c r="E302" i="4" s="1"/>
  <c r="A302" i="4"/>
  <c r="B302" i="4" s="1"/>
  <c r="B301" i="4"/>
  <c r="C301" i="4" s="1"/>
  <c r="A301" i="4"/>
  <c r="D300" i="4"/>
  <c r="A300" i="4"/>
  <c r="B300" i="4" s="1"/>
  <c r="C300" i="4" s="1"/>
  <c r="E300" i="4" s="1"/>
  <c r="C299" i="4"/>
  <c r="B299" i="4"/>
  <c r="A299" i="4"/>
  <c r="D298" i="4"/>
  <c r="B298" i="4"/>
  <c r="C298" i="4" s="1"/>
  <c r="E298" i="4" s="1"/>
  <c r="A298" i="4"/>
  <c r="B297" i="4"/>
  <c r="C297" i="4" s="1"/>
  <c r="A297" i="4"/>
  <c r="A296" i="4"/>
  <c r="B296" i="4" s="1"/>
  <c r="C296" i="4" s="1"/>
  <c r="A295" i="4"/>
  <c r="B295" i="4" s="1"/>
  <c r="C295" i="4" s="1"/>
  <c r="E295" i="4" s="1"/>
  <c r="B294" i="4"/>
  <c r="C294" i="4" s="1"/>
  <c r="D294" i="4" s="1"/>
  <c r="A294" i="4"/>
  <c r="A293" i="4"/>
  <c r="B293" i="4" s="1"/>
  <c r="C293" i="4" s="1"/>
  <c r="A292" i="4"/>
  <c r="B292" i="4" s="1"/>
  <c r="C292" i="4" s="1"/>
  <c r="E291" i="4"/>
  <c r="A291" i="4"/>
  <c r="B291" i="4" s="1"/>
  <c r="C291" i="4" s="1"/>
  <c r="D291" i="4" s="1"/>
  <c r="E290" i="4"/>
  <c r="C290" i="4"/>
  <c r="D290" i="4" s="1"/>
  <c r="B290" i="4"/>
  <c r="A290" i="4"/>
  <c r="E289" i="4"/>
  <c r="D289" i="4"/>
  <c r="B289" i="4"/>
  <c r="C289" i="4" s="1"/>
  <c r="A289" i="4"/>
  <c r="B288" i="4"/>
  <c r="C288" i="4" s="1"/>
  <c r="A288" i="4"/>
  <c r="C287" i="4"/>
  <c r="E287" i="4" s="1"/>
  <c r="A287" i="4"/>
  <c r="B287" i="4" s="1"/>
  <c r="A286" i="4"/>
  <c r="B286" i="4" s="1"/>
  <c r="C286" i="4" s="1"/>
  <c r="A285" i="4"/>
  <c r="B285" i="4" s="1"/>
  <c r="C285" i="4" s="1"/>
  <c r="E285" i="4" s="1"/>
  <c r="A284" i="4"/>
  <c r="B284" i="4" s="1"/>
  <c r="C284" i="4" s="1"/>
  <c r="E284" i="4" s="1"/>
  <c r="C283" i="4"/>
  <c r="D283" i="4" s="1"/>
  <c r="B283" i="4"/>
  <c r="A283" i="4"/>
  <c r="B282" i="4"/>
  <c r="C282" i="4" s="1"/>
  <c r="A282" i="4"/>
  <c r="B281" i="4"/>
  <c r="C281" i="4" s="1"/>
  <c r="A281" i="4"/>
  <c r="A280" i="4"/>
  <c r="B280" i="4" s="1"/>
  <c r="C280" i="4" s="1"/>
  <c r="D280" i="4" s="1"/>
  <c r="B279" i="4"/>
  <c r="C279" i="4" s="1"/>
  <c r="E279" i="4" s="1"/>
  <c r="A279" i="4"/>
  <c r="B278" i="4"/>
  <c r="C278" i="4" s="1"/>
  <c r="E278" i="4" s="1"/>
  <c r="A278" i="4"/>
  <c r="A277" i="4"/>
  <c r="B277" i="4" s="1"/>
  <c r="C277" i="4" s="1"/>
  <c r="A276" i="4"/>
  <c r="B276" i="4" s="1"/>
  <c r="C276" i="4" s="1"/>
  <c r="D276" i="4" s="1"/>
  <c r="C275" i="4"/>
  <c r="D275" i="4" s="1"/>
  <c r="A275" i="4"/>
  <c r="B275" i="4" s="1"/>
  <c r="B274" i="4"/>
  <c r="C274" i="4" s="1"/>
  <c r="A274" i="4"/>
  <c r="B273" i="4"/>
  <c r="C273" i="4" s="1"/>
  <c r="A273" i="4"/>
  <c r="C272" i="4"/>
  <c r="B272" i="4"/>
  <c r="A272" i="4"/>
  <c r="A271" i="4"/>
  <c r="B271" i="4" s="1"/>
  <c r="C271" i="4" s="1"/>
  <c r="B270" i="4"/>
  <c r="C270" i="4" s="1"/>
  <c r="D270" i="4" s="1"/>
  <c r="A270" i="4"/>
  <c r="A269" i="4"/>
  <c r="B269" i="4" s="1"/>
  <c r="C269" i="4" s="1"/>
  <c r="A268" i="4"/>
  <c r="B268" i="4" s="1"/>
  <c r="C268" i="4" s="1"/>
  <c r="E267" i="4"/>
  <c r="C267" i="4"/>
  <c r="D267" i="4" s="1"/>
  <c r="B267" i="4"/>
  <c r="A267" i="4"/>
  <c r="A266" i="4"/>
  <c r="B266" i="4" s="1"/>
  <c r="C266" i="4" s="1"/>
  <c r="D266" i="4" s="1"/>
  <c r="C265" i="4"/>
  <c r="D265" i="4" s="1"/>
  <c r="A265" i="4"/>
  <c r="B265" i="4" s="1"/>
  <c r="B264" i="4"/>
  <c r="C264" i="4" s="1"/>
  <c r="A264" i="4"/>
  <c r="B263" i="4"/>
  <c r="C263" i="4" s="1"/>
  <c r="A263" i="4"/>
  <c r="A262" i="4"/>
  <c r="B262" i="4" s="1"/>
  <c r="C262" i="4" s="1"/>
  <c r="D261" i="4"/>
  <c r="A261" i="4"/>
  <c r="B261" i="4" s="1"/>
  <c r="C261" i="4" s="1"/>
  <c r="E261" i="4" s="1"/>
  <c r="A260" i="4"/>
  <c r="B260" i="4" s="1"/>
  <c r="C260" i="4" s="1"/>
  <c r="E260" i="4" s="1"/>
  <c r="E259" i="4"/>
  <c r="D259" i="4"/>
  <c r="A259" i="4"/>
  <c r="B259" i="4" s="1"/>
  <c r="C259" i="4" s="1"/>
  <c r="B258" i="4"/>
  <c r="C258" i="4" s="1"/>
  <c r="E258" i="4" s="1"/>
  <c r="A258" i="4"/>
  <c r="C257" i="4"/>
  <c r="E257" i="4" s="1"/>
  <c r="B257" i="4"/>
  <c r="A257" i="4"/>
  <c r="B256" i="4"/>
  <c r="C256" i="4" s="1"/>
  <c r="E256" i="4" s="1"/>
  <c r="A256" i="4"/>
  <c r="E255" i="4"/>
  <c r="D255" i="4"/>
  <c r="C255" i="4"/>
  <c r="A255" i="4"/>
  <c r="B255" i="4" s="1"/>
  <c r="A254" i="4"/>
  <c r="B254" i="4" s="1"/>
  <c r="C254" i="4" s="1"/>
  <c r="A253" i="4"/>
  <c r="B253" i="4" s="1"/>
  <c r="C253" i="4" s="1"/>
  <c r="A252" i="4"/>
  <c r="B252" i="4" s="1"/>
  <c r="C252" i="4" s="1"/>
  <c r="A251" i="4"/>
  <c r="B251" i="4" s="1"/>
  <c r="C251" i="4" s="1"/>
  <c r="E251" i="4" s="1"/>
  <c r="A250" i="4"/>
  <c r="B250" i="4" s="1"/>
  <c r="C250" i="4" s="1"/>
  <c r="E250" i="4" s="1"/>
  <c r="E249" i="4"/>
  <c r="B249" i="4"/>
  <c r="C249" i="4" s="1"/>
  <c r="D249" i="4" s="1"/>
  <c r="A249" i="4"/>
  <c r="C248" i="4"/>
  <c r="A248" i="4"/>
  <c r="B248" i="4" s="1"/>
  <c r="C247" i="4"/>
  <c r="E247" i="4" s="1"/>
  <c r="B247" i="4"/>
  <c r="A247" i="4"/>
  <c r="A246" i="4"/>
  <c r="B246" i="4" s="1"/>
  <c r="C246" i="4" s="1"/>
  <c r="E245" i="4"/>
  <c r="B245" i="4"/>
  <c r="C245" i="4" s="1"/>
  <c r="D245" i="4" s="1"/>
  <c r="A245" i="4"/>
  <c r="C244" i="4"/>
  <c r="B244" i="4"/>
  <c r="A244" i="4"/>
  <c r="B243" i="4"/>
  <c r="C243" i="4" s="1"/>
  <c r="A243" i="4"/>
  <c r="A242" i="4"/>
  <c r="B242" i="4" s="1"/>
  <c r="C242" i="4" s="1"/>
  <c r="A241" i="4"/>
  <c r="B241" i="4" s="1"/>
  <c r="C241" i="4" s="1"/>
  <c r="A240" i="4"/>
  <c r="B240" i="4" s="1"/>
  <c r="C240" i="4" s="1"/>
  <c r="C239" i="4"/>
  <c r="E239" i="4" s="1"/>
  <c r="B239" i="4"/>
  <c r="A239" i="4"/>
  <c r="A238" i="4"/>
  <c r="B238" i="4" s="1"/>
  <c r="C238" i="4" s="1"/>
  <c r="D238" i="4" s="1"/>
  <c r="A237" i="4"/>
  <c r="B237" i="4" s="1"/>
  <c r="C237" i="4" s="1"/>
  <c r="B236" i="4"/>
  <c r="C236" i="4" s="1"/>
  <c r="A236" i="4"/>
  <c r="A235" i="4"/>
  <c r="B235" i="4" s="1"/>
  <c r="C235" i="4" s="1"/>
  <c r="E234" i="4"/>
  <c r="D234" i="4"/>
  <c r="A234" i="4"/>
  <c r="B234" i="4" s="1"/>
  <c r="C234" i="4" s="1"/>
  <c r="A233" i="4"/>
  <c r="B233" i="4" s="1"/>
  <c r="C233" i="4" s="1"/>
  <c r="E233" i="4" s="1"/>
  <c r="A232" i="4"/>
  <c r="B232" i="4" s="1"/>
  <c r="C232" i="4" s="1"/>
  <c r="E231" i="4"/>
  <c r="C231" i="4"/>
  <c r="D231" i="4" s="1"/>
  <c r="B231" i="4"/>
  <c r="A231" i="4"/>
  <c r="E230" i="4"/>
  <c r="C230" i="4"/>
  <c r="D230" i="4" s="1"/>
  <c r="A230" i="4"/>
  <c r="B230" i="4" s="1"/>
  <c r="E229" i="4"/>
  <c r="D229" i="4"/>
  <c r="B229" i="4"/>
  <c r="C229" i="4" s="1"/>
  <c r="A229" i="4"/>
  <c r="B228" i="4"/>
  <c r="C228" i="4" s="1"/>
  <c r="A228" i="4"/>
  <c r="C227" i="4"/>
  <c r="E227" i="4" s="1"/>
  <c r="B227" i="4"/>
  <c r="A227" i="4"/>
  <c r="E226" i="4"/>
  <c r="C226" i="4"/>
  <c r="D226" i="4" s="1"/>
  <c r="A226" i="4"/>
  <c r="B226" i="4" s="1"/>
  <c r="B225" i="4"/>
  <c r="C225" i="4" s="1"/>
  <c r="A225" i="4"/>
  <c r="A224" i="4"/>
  <c r="B224" i="4" s="1"/>
  <c r="C224" i="4" s="1"/>
  <c r="D223" i="4"/>
  <c r="C223" i="4"/>
  <c r="E223" i="4" s="1"/>
  <c r="B223" i="4"/>
  <c r="A223" i="4"/>
  <c r="A222" i="4"/>
  <c r="B222" i="4" s="1"/>
  <c r="C222" i="4" s="1"/>
  <c r="B221" i="4"/>
  <c r="C221" i="4" s="1"/>
  <c r="D221" i="4" s="1"/>
  <c r="A221" i="4"/>
  <c r="A220" i="4"/>
  <c r="B220" i="4" s="1"/>
  <c r="C220" i="4" s="1"/>
  <c r="A219" i="4"/>
  <c r="B219" i="4" s="1"/>
  <c r="C219" i="4" s="1"/>
  <c r="E219" i="4" s="1"/>
  <c r="E218" i="4"/>
  <c r="A218" i="4"/>
  <c r="B218" i="4" s="1"/>
  <c r="C218" i="4" s="1"/>
  <c r="D218" i="4" s="1"/>
  <c r="B217" i="4"/>
  <c r="C217" i="4" s="1"/>
  <c r="A217" i="4"/>
  <c r="A216" i="4"/>
  <c r="B216" i="4" s="1"/>
  <c r="C216" i="4" s="1"/>
  <c r="B215" i="4"/>
  <c r="C215" i="4" s="1"/>
  <c r="D215" i="4" s="1"/>
  <c r="A215" i="4"/>
  <c r="A214" i="4"/>
  <c r="B214" i="4" s="1"/>
  <c r="C214" i="4" s="1"/>
  <c r="D214" i="4" s="1"/>
  <c r="B213" i="4"/>
  <c r="C213" i="4" s="1"/>
  <c r="A213" i="4"/>
  <c r="A212" i="4"/>
  <c r="B212" i="4" s="1"/>
  <c r="C212" i="4" s="1"/>
  <c r="B211" i="4"/>
  <c r="C211" i="4" s="1"/>
  <c r="A211" i="4"/>
  <c r="A210" i="4"/>
  <c r="B210" i="4" s="1"/>
  <c r="C210" i="4" s="1"/>
  <c r="D210" i="4" s="1"/>
  <c r="A209" i="4"/>
  <c r="B209" i="4" s="1"/>
  <c r="C209" i="4" s="1"/>
  <c r="A208" i="4"/>
  <c r="B208" i="4" s="1"/>
  <c r="C208" i="4" s="1"/>
  <c r="D207" i="4"/>
  <c r="B207" i="4"/>
  <c r="C207" i="4" s="1"/>
  <c r="E207" i="4" s="1"/>
  <c r="A207" i="4"/>
  <c r="B206" i="4"/>
  <c r="C206" i="4" s="1"/>
  <c r="D206" i="4" s="1"/>
  <c r="A206" i="4"/>
  <c r="A205" i="4"/>
  <c r="B205" i="4" s="1"/>
  <c r="C205" i="4" s="1"/>
  <c r="E204" i="4"/>
  <c r="B204" i="4"/>
  <c r="C204" i="4" s="1"/>
  <c r="D204" i="4" s="1"/>
  <c r="A204" i="4"/>
  <c r="A203" i="4"/>
  <c r="B203" i="4" s="1"/>
  <c r="C203" i="4" s="1"/>
  <c r="A202" i="4"/>
  <c r="B202" i="4" s="1"/>
  <c r="C202" i="4" s="1"/>
  <c r="A201" i="4"/>
  <c r="B201" i="4" s="1"/>
  <c r="C201" i="4" s="1"/>
  <c r="D201" i="4" s="1"/>
  <c r="A200" i="4"/>
  <c r="B200" i="4" s="1"/>
  <c r="C200" i="4" s="1"/>
  <c r="B199" i="4"/>
  <c r="C199" i="4" s="1"/>
  <c r="A199" i="4"/>
  <c r="A198" i="4"/>
  <c r="B198" i="4" s="1"/>
  <c r="C198" i="4" s="1"/>
  <c r="E197" i="4"/>
  <c r="D197" i="4"/>
  <c r="B197" i="4"/>
  <c r="C197" i="4" s="1"/>
  <c r="A197" i="4"/>
  <c r="C196" i="4"/>
  <c r="B196" i="4"/>
  <c r="A196" i="4"/>
  <c r="B195" i="4"/>
  <c r="C195" i="4" s="1"/>
  <c r="A195" i="4"/>
  <c r="A194" i="4"/>
  <c r="B194" i="4" s="1"/>
  <c r="C194" i="4" s="1"/>
  <c r="C193" i="4"/>
  <c r="B193" i="4"/>
  <c r="A193" i="4"/>
  <c r="A192" i="4"/>
  <c r="B192" i="4" s="1"/>
  <c r="C192" i="4" s="1"/>
  <c r="C191" i="4"/>
  <c r="E191" i="4" s="1"/>
  <c r="B191" i="4"/>
  <c r="A191" i="4"/>
  <c r="A190" i="4"/>
  <c r="B190" i="4" s="1"/>
  <c r="C190" i="4" s="1"/>
  <c r="D190" i="4" s="1"/>
  <c r="B189" i="4"/>
  <c r="C189" i="4" s="1"/>
  <c r="E189" i="4" s="1"/>
  <c r="A189" i="4"/>
  <c r="A188" i="4"/>
  <c r="B188" i="4" s="1"/>
  <c r="C188" i="4" s="1"/>
  <c r="D187" i="4"/>
  <c r="A187" i="4"/>
  <c r="B187" i="4" s="1"/>
  <c r="C187" i="4" s="1"/>
  <c r="E187" i="4" s="1"/>
  <c r="A186" i="4"/>
  <c r="B186" i="4" s="1"/>
  <c r="C186" i="4" s="1"/>
  <c r="A185" i="4"/>
  <c r="B185" i="4" s="1"/>
  <c r="C185" i="4" s="1"/>
  <c r="E184" i="4"/>
  <c r="C184" i="4"/>
  <c r="D184" i="4" s="1"/>
  <c r="B184" i="4"/>
  <c r="A184" i="4"/>
  <c r="C183" i="4"/>
  <c r="E183" i="4" s="1"/>
  <c r="B183" i="4"/>
  <c r="A183" i="4"/>
  <c r="C182" i="4"/>
  <c r="A182" i="4"/>
  <c r="B182" i="4" s="1"/>
  <c r="B181" i="4"/>
  <c r="C181" i="4" s="1"/>
  <c r="E181" i="4" s="1"/>
  <c r="A181" i="4"/>
  <c r="B180" i="4"/>
  <c r="C180" i="4" s="1"/>
  <c r="A180" i="4"/>
  <c r="C179" i="4"/>
  <c r="E179" i="4" s="1"/>
  <c r="B179" i="4"/>
  <c r="A179" i="4"/>
  <c r="C178" i="4"/>
  <c r="A178" i="4"/>
  <c r="B178" i="4" s="1"/>
  <c r="B177" i="4"/>
  <c r="C177" i="4" s="1"/>
  <c r="A177" i="4"/>
  <c r="A176" i="4"/>
  <c r="B176" i="4" s="1"/>
  <c r="C176" i="4" s="1"/>
  <c r="D176" i="4" s="1"/>
  <c r="B175" i="4"/>
  <c r="C175" i="4" s="1"/>
  <c r="A175" i="4"/>
  <c r="A174" i="4"/>
  <c r="B174" i="4" s="1"/>
  <c r="C174" i="4" s="1"/>
  <c r="E173" i="4"/>
  <c r="A173" i="4"/>
  <c r="B173" i="4" s="1"/>
  <c r="C173" i="4" s="1"/>
  <c r="D173" i="4" s="1"/>
  <c r="C172" i="4"/>
  <c r="D172" i="4" s="1"/>
  <c r="B172" i="4"/>
  <c r="A172" i="4"/>
  <c r="A171" i="4"/>
  <c r="B171" i="4" s="1"/>
  <c r="C171" i="4" s="1"/>
  <c r="E170" i="4"/>
  <c r="C170" i="4"/>
  <c r="D170" i="4" s="1"/>
  <c r="A170" i="4"/>
  <c r="B170" i="4" s="1"/>
  <c r="A169" i="4"/>
  <c r="B169" i="4" s="1"/>
  <c r="C169" i="4" s="1"/>
  <c r="E169" i="4" s="1"/>
  <c r="E168" i="4"/>
  <c r="D168" i="4"/>
  <c r="C168" i="4"/>
  <c r="A168" i="4"/>
  <c r="B168" i="4" s="1"/>
  <c r="C167" i="4"/>
  <c r="B167" i="4"/>
  <c r="A167" i="4"/>
  <c r="B166" i="4"/>
  <c r="C166" i="4" s="1"/>
  <c r="A166" i="4"/>
  <c r="B165" i="4"/>
  <c r="C165" i="4" s="1"/>
  <c r="A165" i="4"/>
  <c r="A164" i="4"/>
  <c r="B164" i="4" s="1"/>
  <c r="C164" i="4" s="1"/>
  <c r="B163" i="4"/>
  <c r="C163" i="4" s="1"/>
  <c r="E163" i="4" s="1"/>
  <c r="A163" i="4"/>
  <c r="A162" i="4"/>
  <c r="B162" i="4" s="1"/>
  <c r="C162" i="4" s="1"/>
  <c r="E162" i="4" s="1"/>
  <c r="C161" i="4"/>
  <c r="B161" i="4"/>
  <c r="A161" i="4"/>
  <c r="A160" i="4"/>
  <c r="B160" i="4" s="1"/>
  <c r="C160" i="4" s="1"/>
  <c r="A159" i="4"/>
  <c r="B159" i="4" s="1"/>
  <c r="C159" i="4" s="1"/>
  <c r="D159" i="4" s="1"/>
  <c r="A158" i="4"/>
  <c r="B158" i="4" s="1"/>
  <c r="C158" i="4" s="1"/>
  <c r="D158" i="4" s="1"/>
  <c r="E157" i="4"/>
  <c r="D157" i="4"/>
  <c r="C157" i="4"/>
  <c r="B157" i="4"/>
  <c r="A157" i="4"/>
  <c r="B156" i="4"/>
  <c r="C156" i="4" s="1"/>
  <c r="A156" i="4"/>
  <c r="A155" i="4"/>
  <c r="B155" i="4" s="1"/>
  <c r="C155" i="4" s="1"/>
  <c r="D155" i="4" s="1"/>
  <c r="A154" i="4"/>
  <c r="B154" i="4" s="1"/>
  <c r="C154" i="4" s="1"/>
  <c r="B153" i="4"/>
  <c r="C153" i="4" s="1"/>
  <c r="D153" i="4" s="1"/>
  <c r="A153" i="4"/>
  <c r="A152" i="4"/>
  <c r="B152" i="4" s="1"/>
  <c r="C152" i="4" s="1"/>
  <c r="E152" i="4" s="1"/>
  <c r="A151" i="4"/>
  <c r="B151" i="4" s="1"/>
  <c r="C151" i="4" s="1"/>
  <c r="C150" i="4"/>
  <c r="E150" i="4" s="1"/>
  <c r="B150" i="4"/>
  <c r="A150" i="4"/>
  <c r="C149" i="4"/>
  <c r="B149" i="4"/>
  <c r="A149" i="4"/>
  <c r="A148" i="4"/>
  <c r="B148" i="4" s="1"/>
  <c r="C148" i="4" s="1"/>
  <c r="A147" i="4"/>
  <c r="B147" i="4" s="1"/>
  <c r="C147" i="4" s="1"/>
  <c r="A146" i="4"/>
  <c r="B146" i="4" s="1"/>
  <c r="C146" i="4" s="1"/>
  <c r="C145" i="4"/>
  <c r="A145" i="4"/>
  <c r="B145" i="4" s="1"/>
  <c r="A144" i="4"/>
  <c r="B144" i="4" s="1"/>
  <c r="C144" i="4" s="1"/>
  <c r="C143" i="4"/>
  <c r="D143" i="4" s="1"/>
  <c r="B143" i="4"/>
  <c r="A143" i="4"/>
  <c r="A142" i="4"/>
  <c r="B142" i="4" s="1"/>
  <c r="C142" i="4" s="1"/>
  <c r="A141" i="4"/>
  <c r="B141" i="4" s="1"/>
  <c r="C141" i="4" s="1"/>
  <c r="D141" i="4" s="1"/>
  <c r="A140" i="4"/>
  <c r="B140" i="4" s="1"/>
  <c r="C140" i="4" s="1"/>
  <c r="E139" i="4"/>
  <c r="D139" i="4"/>
  <c r="A139" i="4"/>
  <c r="B139" i="4" s="1"/>
  <c r="C139" i="4" s="1"/>
  <c r="B138" i="4"/>
  <c r="C138" i="4" s="1"/>
  <c r="A138" i="4"/>
  <c r="B137" i="4"/>
  <c r="C137" i="4" s="1"/>
  <c r="A137" i="4"/>
  <c r="A136" i="4"/>
  <c r="B136" i="4" s="1"/>
  <c r="C136" i="4" s="1"/>
  <c r="A135" i="4"/>
  <c r="B135" i="4" s="1"/>
  <c r="C135" i="4" s="1"/>
  <c r="A134" i="4"/>
  <c r="B134" i="4" s="1"/>
  <c r="C134" i="4" s="1"/>
  <c r="D134" i="4" s="1"/>
  <c r="B133" i="4"/>
  <c r="C133" i="4" s="1"/>
  <c r="D133" i="4" s="1"/>
  <c r="A133" i="4"/>
  <c r="D132" i="4"/>
  <c r="A132" i="4"/>
  <c r="B132" i="4" s="1"/>
  <c r="C132" i="4" s="1"/>
  <c r="E132" i="4" s="1"/>
  <c r="C131" i="4"/>
  <c r="E131" i="4" s="1"/>
  <c r="A131" i="4"/>
  <c r="B131" i="4" s="1"/>
  <c r="A130" i="4"/>
  <c r="B130" i="4" s="1"/>
  <c r="C130" i="4" s="1"/>
  <c r="A129" i="4"/>
  <c r="B129" i="4" s="1"/>
  <c r="C129" i="4" s="1"/>
  <c r="A128" i="4"/>
  <c r="B128" i="4" s="1"/>
  <c r="C128" i="4" s="1"/>
  <c r="A127" i="4"/>
  <c r="B127" i="4" s="1"/>
  <c r="C127" i="4" s="1"/>
  <c r="D127" i="4" s="1"/>
  <c r="A126" i="4"/>
  <c r="B126" i="4" s="1"/>
  <c r="C126" i="4" s="1"/>
  <c r="D126" i="4" s="1"/>
  <c r="E125" i="4"/>
  <c r="D125" i="4"/>
  <c r="C125" i="4"/>
  <c r="B125" i="4"/>
  <c r="A125" i="4"/>
  <c r="B124" i="4"/>
  <c r="C124" i="4" s="1"/>
  <c r="A124" i="4"/>
  <c r="A123" i="4"/>
  <c r="B123" i="4" s="1"/>
  <c r="C123" i="4" s="1"/>
  <c r="D123" i="4" s="1"/>
  <c r="A122" i="4"/>
  <c r="B122" i="4" s="1"/>
  <c r="C122" i="4" s="1"/>
  <c r="B121" i="4"/>
  <c r="C121" i="4" s="1"/>
  <c r="D121" i="4" s="1"/>
  <c r="A121" i="4"/>
  <c r="E120" i="4"/>
  <c r="D120" i="4"/>
  <c r="C120" i="4"/>
  <c r="B120" i="4"/>
  <c r="A120" i="4"/>
  <c r="D119" i="4"/>
  <c r="A119" i="4"/>
  <c r="B119" i="4" s="1"/>
  <c r="C119" i="4" s="1"/>
  <c r="E119" i="4" s="1"/>
  <c r="A118" i="4"/>
  <c r="B118" i="4" s="1"/>
  <c r="C118" i="4" s="1"/>
  <c r="E118" i="4" s="1"/>
  <c r="C117" i="4"/>
  <c r="E117" i="4" s="1"/>
  <c r="B117" i="4"/>
  <c r="A117" i="4"/>
  <c r="B116" i="4"/>
  <c r="C116" i="4" s="1"/>
  <c r="A116" i="4"/>
  <c r="B115" i="4"/>
  <c r="C115" i="4" s="1"/>
  <c r="A115" i="4"/>
  <c r="A114" i="4"/>
  <c r="B114" i="4" s="1"/>
  <c r="C114" i="4" s="1"/>
  <c r="B113" i="4"/>
  <c r="C113" i="4" s="1"/>
  <c r="A113" i="4"/>
  <c r="A112" i="4"/>
  <c r="B112" i="4" s="1"/>
  <c r="C112" i="4" s="1"/>
  <c r="E112" i="4" s="1"/>
  <c r="A111" i="4"/>
  <c r="B111" i="4" s="1"/>
  <c r="C111" i="4" s="1"/>
  <c r="E111" i="4" s="1"/>
  <c r="A110" i="4"/>
  <c r="B110" i="4" s="1"/>
  <c r="C110" i="4" s="1"/>
  <c r="A109" i="4"/>
  <c r="B109" i="4" s="1"/>
  <c r="C109" i="4" s="1"/>
  <c r="A108" i="4"/>
  <c r="B108" i="4" s="1"/>
  <c r="C108" i="4" s="1"/>
  <c r="E107" i="4"/>
  <c r="A107" i="4"/>
  <c r="B107" i="4" s="1"/>
  <c r="C107" i="4" s="1"/>
  <c r="D107" i="4" s="1"/>
  <c r="A106" i="4"/>
  <c r="B106" i="4" s="1"/>
  <c r="C106" i="4" s="1"/>
  <c r="A105" i="4"/>
  <c r="B105" i="4" s="1"/>
  <c r="C105" i="4" s="1"/>
  <c r="C104" i="4"/>
  <c r="E104" i="4" s="1"/>
  <c r="B104" i="4"/>
  <c r="A104" i="4"/>
  <c r="B103" i="4"/>
  <c r="C103" i="4" s="1"/>
  <c r="A103" i="4"/>
  <c r="B102" i="4"/>
  <c r="C102" i="4" s="1"/>
  <c r="A102" i="4"/>
  <c r="C101" i="4"/>
  <c r="E101" i="4" s="1"/>
  <c r="B101" i="4"/>
  <c r="A101" i="4"/>
  <c r="A100" i="4"/>
  <c r="B100" i="4" s="1"/>
  <c r="C100" i="4" s="1"/>
  <c r="E99" i="4"/>
  <c r="A99" i="4"/>
  <c r="B99" i="4" s="1"/>
  <c r="C99" i="4" s="1"/>
  <c r="D99" i="4" s="1"/>
  <c r="A98" i="4"/>
  <c r="B98" i="4" s="1"/>
  <c r="C98" i="4" s="1"/>
  <c r="C97" i="4"/>
  <c r="B97" i="4"/>
  <c r="A97" i="4"/>
  <c r="B96" i="4"/>
  <c r="C96" i="4" s="1"/>
  <c r="A96" i="4"/>
  <c r="B95" i="4"/>
  <c r="C95" i="4" s="1"/>
  <c r="A95" i="4"/>
  <c r="A94" i="4"/>
  <c r="B94" i="4" s="1"/>
  <c r="C94" i="4" s="1"/>
  <c r="B93" i="4"/>
  <c r="C93" i="4" s="1"/>
  <c r="D93" i="4" s="1"/>
  <c r="A93" i="4"/>
  <c r="B92" i="4"/>
  <c r="C92" i="4" s="1"/>
  <c r="E92" i="4" s="1"/>
  <c r="A92" i="4"/>
  <c r="E91" i="4"/>
  <c r="D91" i="4"/>
  <c r="A91" i="4"/>
  <c r="B91" i="4" s="1"/>
  <c r="C91" i="4" s="1"/>
  <c r="B90" i="4"/>
  <c r="C90" i="4" s="1"/>
  <c r="A90" i="4"/>
  <c r="A89" i="4"/>
  <c r="B89" i="4" s="1"/>
  <c r="C89" i="4" s="1"/>
  <c r="E88" i="4"/>
  <c r="D88" i="4"/>
  <c r="C88" i="4"/>
  <c r="B88" i="4"/>
  <c r="A88" i="4"/>
  <c r="A87" i="4"/>
  <c r="B87" i="4" s="1"/>
  <c r="C87" i="4" s="1"/>
  <c r="A86" i="4"/>
  <c r="B86" i="4" s="1"/>
  <c r="C86" i="4" s="1"/>
  <c r="E85" i="4"/>
  <c r="C85" i="4"/>
  <c r="D85" i="4" s="1"/>
  <c r="B85" i="4"/>
  <c r="A85" i="4"/>
  <c r="A84" i="4"/>
  <c r="B84" i="4" s="1"/>
  <c r="C84" i="4" s="1"/>
  <c r="E84" i="4" s="1"/>
  <c r="A83" i="4"/>
  <c r="B83" i="4" s="1"/>
  <c r="C83" i="4" s="1"/>
  <c r="D83" i="4" s="1"/>
  <c r="A82" i="4"/>
  <c r="B82" i="4" s="1"/>
  <c r="C82" i="4" s="1"/>
  <c r="A81" i="4"/>
  <c r="B81" i="4" s="1"/>
  <c r="C81" i="4" s="1"/>
  <c r="A80" i="4"/>
  <c r="B80" i="4" s="1"/>
  <c r="C80" i="4" s="1"/>
  <c r="A79" i="4"/>
  <c r="B79" i="4" s="1"/>
  <c r="C79" i="4" s="1"/>
  <c r="E78" i="4"/>
  <c r="A78" i="4"/>
  <c r="B78" i="4" s="1"/>
  <c r="C78" i="4" s="1"/>
  <c r="D78" i="4" s="1"/>
  <c r="C77" i="4"/>
  <c r="B77" i="4"/>
  <c r="A77" i="4"/>
  <c r="C76" i="4"/>
  <c r="D76" i="4" s="1"/>
  <c r="B76" i="4"/>
  <c r="A76" i="4"/>
  <c r="A75" i="4"/>
  <c r="B75" i="4" s="1"/>
  <c r="C75" i="4" s="1"/>
  <c r="A74" i="4"/>
  <c r="B74" i="4" s="1"/>
  <c r="C74" i="4" s="1"/>
  <c r="D74" i="4" s="1"/>
  <c r="A73" i="4"/>
  <c r="B73" i="4" s="1"/>
  <c r="C73" i="4" s="1"/>
  <c r="E72" i="4"/>
  <c r="D72" i="4"/>
  <c r="C72" i="4"/>
  <c r="B72" i="4"/>
  <c r="A72" i="4"/>
  <c r="B71" i="4"/>
  <c r="C71" i="4" s="1"/>
  <c r="D71" i="4" s="1"/>
  <c r="A71" i="4"/>
  <c r="A70" i="4"/>
  <c r="B70" i="4" s="1"/>
  <c r="C70" i="4" s="1"/>
  <c r="E70" i="4" s="1"/>
  <c r="E69" i="4"/>
  <c r="D69" i="4"/>
  <c r="C69" i="4"/>
  <c r="B69" i="4"/>
  <c r="A69" i="4"/>
  <c r="C68" i="4"/>
  <c r="B68" i="4"/>
  <c r="A68" i="4"/>
  <c r="B67" i="4"/>
  <c r="C67" i="4" s="1"/>
  <c r="A67" i="4"/>
  <c r="B66" i="4"/>
  <c r="C66" i="4" s="1"/>
  <c r="A66" i="4"/>
  <c r="B65" i="4"/>
  <c r="C65" i="4" s="1"/>
  <c r="A65" i="4"/>
  <c r="B64" i="4"/>
  <c r="C64" i="4" s="1"/>
  <c r="E64" i="4" s="1"/>
  <c r="A64" i="4"/>
  <c r="A63" i="4"/>
  <c r="B63" i="4" s="1"/>
  <c r="C63" i="4" s="1"/>
  <c r="E63" i="4" s="1"/>
  <c r="B62" i="4"/>
  <c r="C62" i="4" s="1"/>
  <c r="D62" i="4" s="1"/>
  <c r="A62" i="4"/>
  <c r="A61" i="4"/>
  <c r="B61" i="4" s="1"/>
  <c r="C61" i="4" s="1"/>
  <c r="A60" i="4"/>
  <c r="B60" i="4" s="1"/>
  <c r="C60" i="4" s="1"/>
  <c r="C59" i="4"/>
  <c r="A59" i="4"/>
  <c r="B59" i="4" s="1"/>
  <c r="B58" i="4"/>
  <c r="C58" i="4" s="1"/>
  <c r="D58" i="4" s="1"/>
  <c r="A58" i="4"/>
  <c r="B57" i="4"/>
  <c r="C57" i="4" s="1"/>
  <c r="D57" i="4" s="1"/>
  <c r="A57" i="4"/>
  <c r="D56" i="4"/>
  <c r="A56" i="4"/>
  <c r="B56" i="4" s="1"/>
  <c r="C56" i="4" s="1"/>
  <c r="E56" i="4" s="1"/>
  <c r="A55" i="4"/>
  <c r="B55" i="4" s="1"/>
  <c r="C55" i="4" s="1"/>
  <c r="E55" i="4" s="1"/>
  <c r="A54" i="4"/>
  <c r="B54" i="4" s="1"/>
  <c r="C54" i="4" s="1"/>
  <c r="C53" i="4"/>
  <c r="B53" i="4"/>
  <c r="A53" i="4"/>
  <c r="C52" i="4"/>
  <c r="E52" i="4" s="1"/>
  <c r="B52" i="4"/>
  <c r="A52" i="4"/>
  <c r="C51" i="4"/>
  <c r="B51" i="4"/>
  <c r="A51" i="4"/>
  <c r="B50" i="4"/>
  <c r="C50" i="4" s="1"/>
  <c r="A50" i="4"/>
  <c r="B49" i="4"/>
  <c r="C49" i="4" s="1"/>
  <c r="A49" i="4"/>
  <c r="A48" i="4"/>
  <c r="B48" i="4" s="1"/>
  <c r="C48" i="4" s="1"/>
  <c r="A47" i="4"/>
  <c r="B47" i="4" s="1"/>
  <c r="C47" i="4" s="1"/>
  <c r="A46" i="4"/>
  <c r="B46" i="4" s="1"/>
  <c r="C46" i="4" s="1"/>
  <c r="A45" i="4"/>
  <c r="B45" i="4" s="1"/>
  <c r="C45" i="4" s="1"/>
  <c r="E44" i="4"/>
  <c r="A44" i="4"/>
  <c r="B44" i="4" s="1"/>
  <c r="C44" i="4" s="1"/>
  <c r="D44" i="4" s="1"/>
  <c r="A43" i="4"/>
  <c r="B43" i="4" s="1"/>
  <c r="C43" i="4" s="1"/>
  <c r="B42" i="4"/>
  <c r="C42" i="4" s="1"/>
  <c r="D42" i="4" s="1"/>
  <c r="A42" i="4"/>
  <c r="B41" i="4"/>
  <c r="C41" i="4" s="1"/>
  <c r="E41" i="4" s="1"/>
  <c r="A41" i="4"/>
  <c r="A40" i="4"/>
  <c r="B40" i="4" s="1"/>
  <c r="C40" i="4" s="1"/>
  <c r="E40" i="4" s="1"/>
  <c r="A39" i="4"/>
  <c r="B39" i="4" s="1"/>
  <c r="C39" i="4" s="1"/>
  <c r="E39" i="4" s="1"/>
  <c r="A38" i="4"/>
  <c r="B38" i="4" s="1"/>
  <c r="C38" i="4" s="1"/>
  <c r="C37" i="4"/>
  <c r="B37" i="4"/>
  <c r="A37" i="4"/>
  <c r="E36" i="4"/>
  <c r="D36" i="4"/>
  <c r="C36" i="4"/>
  <c r="B36" i="4"/>
  <c r="A36" i="4"/>
  <c r="B35" i="4"/>
  <c r="C35" i="4" s="1"/>
  <c r="A35" i="4"/>
  <c r="B34" i="4"/>
  <c r="C34" i="4" s="1"/>
  <c r="A34" i="4"/>
  <c r="B33" i="4"/>
  <c r="C33" i="4" s="1"/>
  <c r="A33" i="4"/>
  <c r="A32" i="4"/>
  <c r="B32" i="4" s="1"/>
  <c r="C32" i="4" s="1"/>
  <c r="A31" i="4"/>
  <c r="B31" i="4" s="1"/>
  <c r="C31" i="4" s="1"/>
  <c r="A30" i="4"/>
  <c r="B30" i="4" s="1"/>
  <c r="C30" i="4" s="1"/>
  <c r="A29" i="4"/>
  <c r="B29" i="4" s="1"/>
  <c r="C29" i="4" s="1"/>
  <c r="A28" i="4"/>
  <c r="B28" i="4" s="1"/>
  <c r="C28" i="4" s="1"/>
  <c r="D28" i="4" s="1"/>
  <c r="A27" i="4"/>
  <c r="B27" i="4" s="1"/>
  <c r="C27" i="4" s="1"/>
  <c r="B26" i="4"/>
  <c r="C26" i="4" s="1"/>
  <c r="D26" i="4" s="1"/>
  <c r="A26" i="4"/>
  <c r="B25" i="4"/>
  <c r="C25" i="4" s="1"/>
  <c r="D25" i="4" s="1"/>
  <c r="A25" i="4"/>
  <c r="D24" i="4"/>
  <c r="A24" i="4"/>
  <c r="B24" i="4" s="1"/>
  <c r="C24" i="4" s="1"/>
  <c r="E24" i="4" s="1"/>
  <c r="A23" i="4"/>
  <c r="B23" i="4" s="1"/>
  <c r="C23" i="4" s="1"/>
  <c r="E23" i="4" s="1"/>
  <c r="A22" i="4"/>
  <c r="B22" i="4" s="1"/>
  <c r="C22" i="4" s="1"/>
  <c r="C21" i="4"/>
  <c r="B21" i="4"/>
  <c r="A21" i="4"/>
  <c r="C20" i="4"/>
  <c r="E20" i="4" s="1"/>
  <c r="B20" i="4"/>
  <c r="A20" i="4"/>
  <c r="C19" i="4"/>
  <c r="B19" i="4"/>
  <c r="A19" i="4"/>
  <c r="B18" i="4"/>
  <c r="C18" i="4" s="1"/>
  <c r="A18" i="4"/>
  <c r="B17" i="4"/>
  <c r="C17" i="4" s="1"/>
  <c r="A17" i="4"/>
  <c r="A16" i="4"/>
  <c r="B16" i="4" s="1"/>
  <c r="C16" i="4" s="1"/>
  <c r="A15" i="4"/>
  <c r="B15" i="4" s="1"/>
  <c r="C15" i="4" s="1"/>
  <c r="B12" i="4"/>
  <c r="B11" i="4"/>
  <c r="B9" i="4"/>
  <c r="E202" i="4" l="1"/>
  <c r="D202" i="4"/>
  <c r="E80" i="4"/>
  <c r="D80" i="4"/>
  <c r="E124" i="4"/>
  <c r="D124" i="4"/>
  <c r="E194" i="4"/>
  <c r="D194" i="4"/>
  <c r="E66" i="4"/>
  <c r="D66" i="4"/>
  <c r="E246" i="4"/>
  <c r="D246" i="4"/>
  <c r="E114" i="4"/>
  <c r="D114" i="4"/>
  <c r="D140" i="4"/>
  <c r="E140" i="4"/>
  <c r="E175" i="4"/>
  <c r="D175" i="4"/>
  <c r="E209" i="4"/>
  <c r="D209" i="4"/>
  <c r="E103" i="4"/>
  <c r="D103" i="4"/>
  <c r="D192" i="4"/>
  <c r="E192" i="4"/>
  <c r="D27" i="4"/>
  <c r="E27" i="4"/>
  <c r="E96" i="4"/>
  <c r="D96" i="4"/>
  <c r="E48" i="4"/>
  <c r="D48" i="4"/>
  <c r="E105" i="4"/>
  <c r="D105" i="4"/>
  <c r="E38" i="4"/>
  <c r="D38" i="4"/>
  <c r="E90" i="4"/>
  <c r="D90" i="4"/>
  <c r="E224" i="4"/>
  <c r="D224" i="4"/>
  <c r="E185" i="4"/>
  <c r="D185" i="4"/>
  <c r="E32" i="4"/>
  <c r="D32" i="4"/>
  <c r="D73" i="4"/>
  <c r="E73" i="4"/>
  <c r="E108" i="4"/>
  <c r="D108" i="4"/>
  <c r="E156" i="4"/>
  <c r="D156" i="4"/>
  <c r="E49" i="4"/>
  <c r="D49" i="4"/>
  <c r="E106" i="4"/>
  <c r="D106" i="4"/>
  <c r="D237" i="4"/>
  <c r="E237" i="4"/>
  <c r="D98" i="4"/>
  <c r="E98" i="4"/>
  <c r="E136" i="4"/>
  <c r="D136" i="4"/>
  <c r="E33" i="4"/>
  <c r="D33" i="4"/>
  <c r="E147" i="4"/>
  <c r="D147" i="4"/>
  <c r="E165" i="4"/>
  <c r="D165" i="4"/>
  <c r="E89" i="4"/>
  <c r="D89" i="4"/>
  <c r="D441" i="4"/>
  <c r="E441" i="4"/>
  <c r="E22" i="4"/>
  <c r="D22" i="4"/>
  <c r="E138" i="4"/>
  <c r="D138" i="4"/>
  <c r="E30" i="4"/>
  <c r="D30" i="4"/>
  <c r="D314" i="4"/>
  <c r="E314" i="4"/>
  <c r="E16" i="4"/>
  <c r="D16" i="4"/>
  <c r="E61" i="4"/>
  <c r="D61" i="4"/>
  <c r="E242" i="4"/>
  <c r="D242" i="4"/>
  <c r="D308" i="4"/>
  <c r="E308" i="4"/>
  <c r="D154" i="4"/>
  <c r="E154" i="4"/>
  <c r="E82" i="4"/>
  <c r="D82" i="4"/>
  <c r="D110" i="4"/>
  <c r="E110" i="4"/>
  <c r="E35" i="4"/>
  <c r="D35" i="4"/>
  <c r="D43" i="4"/>
  <c r="E43" i="4"/>
  <c r="E129" i="4"/>
  <c r="D129" i="4"/>
  <c r="D232" i="4"/>
  <c r="E232" i="4"/>
  <c r="D292" i="4"/>
  <c r="E292" i="4"/>
  <c r="E144" i="4"/>
  <c r="D144" i="4"/>
  <c r="E17" i="4"/>
  <c r="D17" i="4"/>
  <c r="E87" i="4"/>
  <c r="D87" i="4"/>
  <c r="D94" i="4"/>
  <c r="E94" i="4"/>
  <c r="E130" i="4"/>
  <c r="D130" i="4"/>
  <c r="E198" i="4"/>
  <c r="D198" i="4"/>
  <c r="E437" i="4"/>
  <c r="D437" i="4"/>
  <c r="D220" i="4"/>
  <c r="E220" i="4"/>
  <c r="E46" i="4"/>
  <c r="D46" i="4"/>
  <c r="E54" i="4"/>
  <c r="D54" i="4"/>
  <c r="E115" i="4"/>
  <c r="D115" i="4"/>
  <c r="D122" i="4"/>
  <c r="E122" i="4"/>
  <c r="E151" i="4"/>
  <c r="D151" i="4"/>
  <c r="D200" i="4"/>
  <c r="E200" i="4"/>
  <c r="E228" i="4"/>
  <c r="D228" i="4"/>
  <c r="E253" i="4"/>
  <c r="D253" i="4"/>
  <c r="E59" i="4"/>
  <c r="D59" i="4"/>
  <c r="E263" i="4"/>
  <c r="D263" i="4"/>
  <c r="E76" i="4"/>
  <c r="D256" i="4"/>
  <c r="E25" i="4"/>
  <c r="E113" i="4"/>
  <c r="D113" i="4"/>
  <c r="E143" i="4"/>
  <c r="D150" i="4"/>
  <c r="E201" i="4"/>
  <c r="E225" i="4"/>
  <c r="D225" i="4"/>
  <c r="D236" i="4"/>
  <c r="E236" i="4"/>
  <c r="E264" i="4"/>
  <c r="D264" i="4"/>
  <c r="E288" i="4"/>
  <c r="D288" i="4"/>
  <c r="E358" i="4"/>
  <c r="D358" i="4"/>
  <c r="E589" i="4"/>
  <c r="D589" i="4"/>
  <c r="E603" i="4"/>
  <c r="D603" i="4"/>
  <c r="E769" i="4"/>
  <c r="D769" i="4"/>
  <c r="E193" i="4"/>
  <c r="D193" i="4"/>
  <c r="D248" i="4"/>
  <c r="E248" i="4"/>
  <c r="D349" i="4"/>
  <c r="E349" i="4"/>
  <c r="D162" i="4"/>
  <c r="D181" i="4"/>
  <c r="E243" i="4"/>
  <c r="D243" i="4"/>
  <c r="E574" i="4"/>
  <c r="D574" i="4"/>
  <c r="D15" i="4"/>
  <c r="E15" i="4"/>
  <c r="D55" i="4"/>
  <c r="D84" i="4"/>
  <c r="E182" i="4"/>
  <c r="D182" i="4"/>
  <c r="E195" i="4"/>
  <c r="D195" i="4"/>
  <c r="E296" i="4"/>
  <c r="D296" i="4"/>
  <c r="D310" i="4"/>
  <c r="E310" i="4"/>
  <c r="D379" i="4"/>
  <c r="E379" i="4"/>
  <c r="D482" i="4"/>
  <c r="E482" i="4"/>
  <c r="E561" i="4"/>
  <c r="D561" i="4"/>
  <c r="E293" i="4"/>
  <c r="D293" i="4"/>
  <c r="D448" i="4"/>
  <c r="E448" i="4"/>
  <c r="D60" i="4"/>
  <c r="E60" i="4"/>
  <c r="E93" i="4"/>
  <c r="D118" i="4"/>
  <c r="E270" i="4"/>
  <c r="E83" i="4"/>
  <c r="D357" i="4"/>
  <c r="E357" i="4"/>
  <c r="E67" i="4"/>
  <c r="D67" i="4"/>
  <c r="E77" i="4"/>
  <c r="D77" i="4"/>
  <c r="D131" i="4"/>
  <c r="D169" i="4"/>
  <c r="E176" i="4"/>
  <c r="D189" i="4"/>
  <c r="E244" i="4"/>
  <c r="D244" i="4"/>
  <c r="D250" i="4"/>
  <c r="D281" i="4"/>
  <c r="E281" i="4"/>
  <c r="E311" i="4"/>
  <c r="D311" i="4"/>
  <c r="E386" i="4"/>
  <c r="D386" i="4"/>
  <c r="E423" i="4"/>
  <c r="E491" i="4"/>
  <c r="D491" i="4"/>
  <c r="D216" i="4"/>
  <c r="E216" i="4"/>
  <c r="D339" i="4"/>
  <c r="E339" i="4"/>
  <c r="D414" i="4"/>
  <c r="E414" i="4"/>
  <c r="D301" i="4"/>
  <c r="E301" i="4"/>
  <c r="E42" i="4"/>
  <c r="D188" i="4"/>
  <c r="E188" i="4"/>
  <c r="E217" i="4"/>
  <c r="D217" i="4"/>
  <c r="D271" i="4"/>
  <c r="E271" i="4"/>
  <c r="E371" i="4"/>
  <c r="D20" i="4"/>
  <c r="E37" i="4"/>
  <c r="D37" i="4"/>
  <c r="D50" i="4"/>
  <c r="E50" i="4"/>
  <c r="D95" i="4"/>
  <c r="E95" i="4"/>
  <c r="D101" i="4"/>
  <c r="D163" i="4"/>
  <c r="E210" i="4"/>
  <c r="E26" i="4"/>
  <c r="E62" i="4"/>
  <c r="E164" i="4"/>
  <c r="D164" i="4"/>
  <c r="E203" i="4"/>
  <c r="D203" i="4"/>
  <c r="D219" i="4"/>
  <c r="E265" i="4"/>
  <c r="D297" i="4"/>
  <c r="E297" i="4"/>
  <c r="E319" i="4"/>
  <c r="D319" i="4"/>
  <c r="D326" i="4"/>
  <c r="E342" i="4"/>
  <c r="E619" i="4"/>
  <c r="D619" i="4"/>
  <c r="D366" i="4"/>
  <c r="E366" i="4"/>
  <c r="E465" i="4"/>
  <c r="D465" i="4"/>
  <c r="E146" i="4"/>
  <c r="D146" i="4"/>
  <c r="D152" i="4"/>
  <c r="D183" i="4"/>
  <c r="E190" i="4"/>
  <c r="E212" i="4"/>
  <c r="D212" i="4"/>
  <c r="E238" i="4"/>
  <c r="E252" i="4"/>
  <c r="D252" i="4"/>
  <c r="E266" i="4"/>
  <c r="E313" i="4"/>
  <c r="D313" i="4"/>
  <c r="E344" i="4"/>
  <c r="D344" i="4"/>
  <c r="E392" i="4"/>
  <c r="D392" i="4"/>
  <c r="E598" i="4"/>
  <c r="D598" i="4"/>
  <c r="E978" i="4"/>
  <c r="D978" i="4"/>
  <c r="E31" i="4"/>
  <c r="D31" i="4"/>
  <c r="E161" i="4"/>
  <c r="D161" i="4"/>
  <c r="E363" i="4"/>
  <c r="D363" i="4"/>
  <c r="E663" i="4"/>
  <c r="D663" i="4"/>
  <c r="E235" i="4"/>
  <c r="D235" i="4"/>
  <c r="D137" i="4"/>
  <c r="E137" i="4"/>
  <c r="D102" i="4"/>
  <c r="E102" i="4"/>
  <c r="E177" i="4"/>
  <c r="D177" i="4"/>
  <c r="E196" i="4"/>
  <c r="D196" i="4"/>
  <c r="D39" i="4"/>
  <c r="D63" i="4"/>
  <c r="E171" i="4"/>
  <c r="D171" i="4"/>
  <c r="E360" i="4"/>
  <c r="D360" i="4"/>
  <c r="D445" i="4"/>
  <c r="E445" i="4"/>
  <c r="D508" i="4"/>
  <c r="E508" i="4"/>
  <c r="E133" i="4"/>
  <c r="E205" i="4"/>
  <c r="D205" i="4"/>
  <c r="E336" i="4"/>
  <c r="D336" i="4"/>
  <c r="D410" i="4"/>
  <c r="D460" i="4"/>
  <c r="E460" i="4"/>
  <c r="D493" i="4"/>
  <c r="D578" i="4"/>
  <c r="E578" i="4"/>
  <c r="D719" i="4"/>
  <c r="E719" i="4"/>
  <c r="E757" i="4"/>
  <c r="D757" i="4"/>
  <c r="E28" i="4"/>
  <c r="D40" i="4"/>
  <c r="D52" i="4"/>
  <c r="E57" i="4"/>
  <c r="D64" i="4"/>
  <c r="E97" i="4"/>
  <c r="D97" i="4"/>
  <c r="E116" i="4"/>
  <c r="D116" i="4"/>
  <c r="D222" i="4"/>
  <c r="E222" i="4"/>
  <c r="E254" i="4"/>
  <c r="D254" i="4"/>
  <c r="D405" i="4"/>
  <c r="E405" i="4"/>
  <c r="E432" i="4"/>
  <c r="D432" i="4"/>
  <c r="D174" i="4"/>
  <c r="E174" i="4"/>
  <c r="D208" i="4"/>
  <c r="E208" i="4"/>
  <c r="D287" i="4"/>
  <c r="E71" i="4"/>
  <c r="E211" i="4"/>
  <c r="D211" i="4"/>
  <c r="E282" i="4"/>
  <c r="D282" i="4"/>
  <c r="E45" i="4"/>
  <c r="D45" i="4"/>
  <c r="E86" i="4"/>
  <c r="D86" i="4"/>
  <c r="E178" i="4"/>
  <c r="D178" i="4"/>
  <c r="E354" i="4"/>
  <c r="D354" i="4"/>
  <c r="E541" i="4"/>
  <c r="D541" i="4"/>
  <c r="E614" i="4"/>
  <c r="D614" i="4"/>
  <c r="D109" i="4"/>
  <c r="E109" i="4"/>
  <c r="E126" i="4"/>
  <c r="E158" i="4"/>
  <c r="E500" i="4"/>
  <c r="D500" i="4"/>
  <c r="D819" i="4"/>
  <c r="E819" i="4"/>
  <c r="D23" i="4"/>
  <c r="E29" i="4"/>
  <c r="D29" i="4"/>
  <c r="D47" i="4"/>
  <c r="E47" i="4"/>
  <c r="E74" i="4"/>
  <c r="E81" i="4"/>
  <c r="D81" i="4"/>
  <c r="E121" i="4"/>
  <c r="E127" i="4"/>
  <c r="E134" i="4"/>
  <c r="E148" i="4"/>
  <c r="D148" i="4"/>
  <c r="E153" i="4"/>
  <c r="E159" i="4"/>
  <c r="D166" i="4"/>
  <c r="E166" i="4"/>
  <c r="E214" i="4"/>
  <c r="E240" i="4"/>
  <c r="D240" i="4"/>
  <c r="D260" i="4"/>
  <c r="E275" i="4"/>
  <c r="D284" i="4"/>
  <c r="E346" i="4"/>
  <c r="D346" i="4"/>
  <c r="E383" i="4"/>
  <c r="D383" i="4"/>
  <c r="D712" i="4"/>
  <c r="E712" i="4"/>
  <c r="D323" i="4"/>
  <c r="E323" i="4"/>
  <c r="E100" i="4"/>
  <c r="D100" i="4"/>
  <c r="E273" i="4"/>
  <c r="D273" i="4"/>
  <c r="D34" i="4"/>
  <c r="E34" i="4"/>
  <c r="E79" i="4"/>
  <c r="D79" i="4"/>
  <c r="D485" i="4"/>
  <c r="E485" i="4"/>
  <c r="D18" i="4"/>
  <c r="E18" i="4"/>
  <c r="E75" i="4"/>
  <c r="D75" i="4"/>
  <c r="D92" i="4"/>
  <c r="E128" i="4"/>
  <c r="D128" i="4"/>
  <c r="E135" i="4"/>
  <c r="D135" i="4"/>
  <c r="E141" i="4"/>
  <c r="D160" i="4"/>
  <c r="E160" i="4"/>
  <c r="E172" i="4"/>
  <c r="D179" i="4"/>
  <c r="E206" i="4"/>
  <c r="D233" i="4"/>
  <c r="E241" i="4"/>
  <c r="D241" i="4"/>
  <c r="E268" i="4"/>
  <c r="D268" i="4"/>
  <c r="D299" i="4"/>
  <c r="E299" i="4"/>
  <c r="D315" i="4"/>
  <c r="E315" i="4"/>
  <c r="E347" i="4"/>
  <c r="D347" i="4"/>
  <c r="D369" i="4"/>
  <c r="E369" i="4"/>
  <c r="E412" i="4"/>
  <c r="D412" i="4"/>
  <c r="D467" i="4"/>
  <c r="E467" i="4"/>
  <c r="E480" i="4"/>
  <c r="D480" i="4"/>
  <c r="E642" i="4"/>
  <c r="D642" i="4"/>
  <c r="D112" i="4"/>
  <c r="E51" i="4"/>
  <c r="D51" i="4"/>
  <c r="E68" i="4"/>
  <c r="D68" i="4"/>
  <c r="E145" i="4"/>
  <c r="D145" i="4"/>
  <c r="D312" i="4"/>
  <c r="E312" i="4"/>
  <c r="E274" i="4"/>
  <c r="D274" i="4"/>
  <c r="D381" i="4"/>
  <c r="E381" i="4"/>
  <c r="D213" i="4"/>
  <c r="E213" i="4"/>
  <c r="D41" i="4"/>
  <c r="E58" i="4"/>
  <c r="E65" i="4"/>
  <c r="D65" i="4"/>
  <c r="D70" i="4"/>
  <c r="D104" i="4"/>
  <c r="D111" i="4"/>
  <c r="D142" i="4"/>
  <c r="E142" i="4"/>
  <c r="D269" i="4"/>
  <c r="E269" i="4"/>
  <c r="E277" i="4"/>
  <c r="D277" i="4"/>
  <c r="E307" i="4"/>
  <c r="D307" i="4"/>
  <c r="E420" i="4"/>
  <c r="D420" i="4"/>
  <c r="E530" i="4"/>
  <c r="D530" i="4"/>
  <c r="E21" i="4"/>
  <c r="D21" i="4"/>
  <c r="E19" i="4"/>
  <c r="D19" i="4"/>
  <c r="E53" i="4"/>
  <c r="D53" i="4"/>
  <c r="D117" i="4"/>
  <c r="E149" i="4"/>
  <c r="D149" i="4"/>
  <c r="E167" i="4"/>
  <c r="D167" i="4"/>
  <c r="E180" i="4"/>
  <c r="D180" i="4"/>
  <c r="E186" i="4"/>
  <c r="D186" i="4"/>
  <c r="E199" i="4"/>
  <c r="D199" i="4"/>
  <c r="E215" i="4"/>
  <c r="E262" i="4"/>
  <c r="D262" i="4"/>
  <c r="E316" i="4"/>
  <c r="D316" i="4"/>
  <c r="D377" i="4"/>
  <c r="E377" i="4"/>
  <c r="D517" i="4"/>
  <c r="E517" i="4"/>
  <c r="E550" i="4"/>
  <c r="D550" i="4"/>
  <c r="E123" i="4"/>
  <c r="E155" i="4"/>
  <c r="D272" i="4"/>
  <c r="E272" i="4"/>
  <c r="D191" i="4"/>
  <c r="E221" i="4"/>
  <c r="D239" i="4"/>
  <c r="D257" i="4"/>
  <c r="D278" i="4"/>
  <c r="D295" i="4"/>
  <c r="D305" i="4"/>
  <c r="D329" i="4"/>
  <c r="D335" i="4"/>
  <c r="E348" i="4"/>
  <c r="E413" i="4"/>
  <c r="E458" i="4"/>
  <c r="D458" i="4"/>
  <c r="E605" i="4"/>
  <c r="D605" i="4"/>
  <c r="E627" i="4"/>
  <c r="D627" i="4"/>
  <c r="D652" i="4"/>
  <c r="E652" i="4"/>
  <c r="D716" i="4"/>
  <c r="E716" i="4"/>
  <c r="E724" i="4"/>
  <c r="D724" i="4"/>
  <c r="E732" i="4"/>
  <c r="D732" i="4"/>
  <c r="E740" i="4"/>
  <c r="D740" i="4"/>
  <c r="E754" i="4"/>
  <c r="D754" i="4"/>
  <c r="D258" i="4"/>
  <c r="D279" i="4"/>
  <c r="D285" i="4"/>
  <c r="E306" i="4"/>
  <c r="E317" i="4"/>
  <c r="D343" i="4"/>
  <c r="D438" i="4"/>
  <c r="E438" i="4"/>
  <c r="E579" i="4"/>
  <c r="D579" i="4"/>
  <c r="E599" i="4"/>
  <c r="D599" i="4"/>
  <c r="E703" i="4"/>
  <c r="D703" i="4"/>
  <c r="E777" i="4"/>
  <c r="D777" i="4"/>
  <c r="E948" i="4"/>
  <c r="D948" i="4"/>
  <c r="E966" i="4"/>
  <c r="D966" i="4"/>
  <c r="E985" i="4"/>
  <c r="D985" i="4"/>
  <c r="D330" i="4"/>
  <c r="E330" i="4"/>
  <c r="E613" i="4"/>
  <c r="D613" i="4"/>
  <c r="E318" i="4"/>
  <c r="D318" i="4"/>
  <c r="E331" i="4"/>
  <c r="D331" i="4"/>
  <c r="D337" i="4"/>
  <c r="E337" i="4"/>
  <c r="E367" i="4"/>
  <c r="D367" i="4"/>
  <c r="E393" i="4"/>
  <c r="E415" i="4"/>
  <c r="D415" i="4"/>
  <c r="D453" i="4"/>
  <c r="E453" i="4"/>
  <c r="D471" i="4"/>
  <c r="E471" i="4"/>
  <c r="E505" i="4"/>
  <c r="D505" i="4"/>
  <c r="D511" i="4"/>
  <c r="D695" i="4"/>
  <c r="E695" i="4"/>
  <c r="D490" i="4"/>
  <c r="E490" i="4"/>
  <c r="D227" i="4"/>
  <c r="E280" i="4"/>
  <c r="E286" i="4"/>
  <c r="D286" i="4"/>
  <c r="D302" i="4"/>
  <c r="E350" i="4"/>
  <c r="E466" i="4"/>
  <c r="D466" i="4"/>
  <c r="D506" i="4"/>
  <c r="E506" i="4"/>
  <c r="E607" i="4"/>
  <c r="D607" i="4"/>
  <c r="D640" i="4"/>
  <c r="E640" i="4"/>
  <c r="E689" i="4"/>
  <c r="D689" i="4"/>
  <c r="D836" i="4"/>
  <c r="E875" i="4"/>
  <c r="D875" i="4"/>
  <c r="E459" i="4"/>
  <c r="D459" i="4"/>
  <c r="E325" i="4"/>
  <c r="D325" i="4"/>
  <c r="D409" i="4"/>
  <c r="E409" i="4"/>
  <c r="E440" i="4"/>
  <c r="D440" i="4"/>
  <c r="E447" i="4"/>
  <c r="D447" i="4"/>
  <c r="D472" i="4"/>
  <c r="E472" i="4"/>
  <c r="E546" i="4"/>
  <c r="D546" i="4"/>
  <c r="E587" i="4"/>
  <c r="D587" i="4"/>
  <c r="E634" i="4"/>
  <c r="D634" i="4"/>
  <c r="E655" i="4"/>
  <c r="D655" i="4"/>
  <c r="E681" i="4"/>
  <c r="D681" i="4"/>
  <c r="E784" i="4"/>
  <c r="D784" i="4"/>
  <c r="D804" i="4"/>
  <c r="E351" i="4"/>
  <c r="D351" i="4"/>
  <c r="E399" i="4"/>
  <c r="D399" i="4"/>
  <c r="E416" i="4"/>
  <c r="D416" i="4"/>
  <c r="E422" i="4"/>
  <c r="D422" i="4"/>
  <c r="E461" i="4"/>
  <c r="D461" i="4"/>
  <c r="D499" i="4"/>
  <c r="E499" i="4"/>
  <c r="E552" i="4"/>
  <c r="D552" i="4"/>
  <c r="E573" i="4"/>
  <c r="D573" i="4"/>
  <c r="D594" i="4"/>
  <c r="E594" i="4"/>
  <c r="E629" i="4"/>
  <c r="D629" i="4"/>
  <c r="E764" i="4"/>
  <c r="D764" i="4"/>
  <c r="E417" i="4"/>
  <c r="D417" i="4"/>
  <c r="D429" i="4"/>
  <c r="E429" i="4"/>
  <c r="D449" i="4"/>
  <c r="E449" i="4"/>
  <c r="E813" i="4"/>
  <c r="D813" i="4"/>
  <c r="D251" i="4"/>
  <c r="E276" i="4"/>
  <c r="E309" i="4"/>
  <c r="D333" i="4"/>
  <c r="E352" i="4"/>
  <c r="E374" i="4"/>
  <c r="D380" i="4"/>
  <c r="E380" i="4"/>
  <c r="D390" i="4"/>
  <c r="D395" i="4"/>
  <c r="E411" i="4"/>
  <c r="D411" i="4"/>
  <c r="D418" i="4"/>
  <c r="E418" i="4"/>
  <c r="E468" i="4"/>
  <c r="D468" i="4"/>
  <c r="D474" i="4"/>
  <c r="E487" i="4"/>
  <c r="D487" i="4"/>
  <c r="E501" i="4"/>
  <c r="D522" i="4"/>
  <c r="E522" i="4"/>
  <c r="D554" i="4"/>
  <c r="E554" i="4"/>
  <c r="D699" i="4"/>
  <c r="E699" i="4"/>
  <c r="D706" i="4"/>
  <c r="E706" i="4"/>
  <c r="E353" i="4"/>
  <c r="D353" i="4"/>
  <c r="D364" i="4"/>
  <c r="E364" i="4"/>
  <c r="E424" i="4"/>
  <c r="D424" i="4"/>
  <c r="E495" i="4"/>
  <c r="D495" i="4"/>
  <c r="E514" i="4"/>
  <c r="D514" i="4"/>
  <c r="E576" i="4"/>
  <c r="D576" i="4"/>
  <c r="E617" i="4"/>
  <c r="D617" i="4"/>
  <c r="D669" i="4"/>
  <c r="E669" i="4"/>
  <c r="E799" i="4"/>
  <c r="D799" i="4"/>
  <c r="E328" i="4"/>
  <c r="D328" i="4"/>
  <c r="E430" i="4"/>
  <c r="E443" i="4"/>
  <c r="D457" i="4"/>
  <c r="E457" i="4"/>
  <c r="D610" i="4"/>
  <c r="E610" i="4"/>
  <c r="E624" i="4"/>
  <c r="D624" i="4"/>
  <c r="D644" i="4"/>
  <c r="E644" i="4"/>
  <c r="E788" i="4"/>
  <c r="D788" i="4"/>
  <c r="D833" i="4"/>
  <c r="E833" i="4"/>
  <c r="D304" i="4"/>
  <c r="D370" i="4"/>
  <c r="D375" i="4"/>
  <c r="D401" i="4"/>
  <c r="D247" i="4"/>
  <c r="E283" i="4"/>
  <c r="E294" i="4"/>
  <c r="D334" i="4"/>
  <c r="D341" i="4"/>
  <c r="E341" i="4"/>
  <c r="E425" i="4"/>
  <c r="E431" i="4"/>
  <c r="D431" i="4"/>
  <c r="E464" i="4"/>
  <c r="D464" i="4"/>
  <c r="E515" i="4"/>
  <c r="D515" i="4"/>
  <c r="E523" i="4"/>
  <c r="D523" i="4"/>
  <c r="D529" i="4"/>
  <c r="D569" i="4"/>
  <c r="E596" i="4"/>
  <c r="D707" i="4"/>
  <c r="E707" i="4"/>
  <c r="E774" i="4"/>
  <c r="D774" i="4"/>
  <c r="E376" i="4"/>
  <c r="D376" i="4"/>
  <c r="E444" i="4"/>
  <c r="D444" i="4"/>
  <c r="D496" i="4"/>
  <c r="E496" i="4"/>
  <c r="D524" i="4"/>
  <c r="E524" i="4"/>
  <c r="E542" i="4"/>
  <c r="D542" i="4"/>
  <c r="E645" i="4"/>
  <c r="D645" i="4"/>
  <c r="E715" i="4"/>
  <c r="D715" i="4"/>
  <c r="E746" i="4"/>
  <c r="D746" i="4"/>
  <c r="E801" i="4"/>
  <c r="D801" i="4"/>
  <c r="D446" i="4"/>
  <c r="D588" i="4"/>
  <c r="E588" i="4"/>
  <c r="D600" i="4"/>
  <c r="E600" i="4"/>
  <c r="E643" i="4"/>
  <c r="D649" i="4"/>
  <c r="E649" i="4"/>
  <c r="E698" i="4"/>
  <c r="D698" i="4"/>
  <c r="E718" i="4"/>
  <c r="D718" i="4"/>
  <c r="D743" i="4"/>
  <c r="E743" i="4"/>
  <c r="D771" i="4"/>
  <c r="E771" i="4"/>
  <c r="E527" i="4"/>
  <c r="D527" i="4"/>
  <c r="E638" i="4"/>
  <c r="D638" i="4"/>
  <c r="E658" i="4"/>
  <c r="D658" i="4"/>
  <c r="E830" i="4"/>
  <c r="D830" i="4"/>
  <c r="E925" i="4"/>
  <c r="D925" i="4"/>
  <c r="D940" i="4"/>
  <c r="E940" i="4"/>
  <c r="E436" i="4"/>
  <c r="D436" i="4"/>
  <c r="E442" i="4"/>
  <c r="D442" i="4"/>
  <c r="D492" i="4"/>
  <c r="E492" i="4"/>
  <c r="D516" i="4"/>
  <c r="E516" i="4"/>
  <c r="E671" i="4"/>
  <c r="D671" i="4"/>
  <c r="E678" i="4"/>
  <c r="D678" i="4"/>
  <c r="E736" i="4"/>
  <c r="D736" i="4"/>
  <c r="E786" i="4"/>
  <c r="D786" i="4"/>
  <c r="E528" i="4"/>
  <c r="D528" i="4"/>
  <c r="E559" i="4"/>
  <c r="D559" i="4"/>
  <c r="D621" i="4"/>
  <c r="E621" i="4"/>
  <c r="E633" i="4"/>
  <c r="D633" i="4"/>
  <c r="E639" i="4"/>
  <c r="D639" i="4"/>
  <c r="E722" i="4"/>
  <c r="D722" i="4"/>
  <c r="E737" i="4"/>
  <c r="D737" i="4"/>
  <c r="E766" i="4"/>
  <c r="D766" i="4"/>
  <c r="D773" i="4"/>
  <c r="E773" i="4"/>
  <c r="E560" i="4"/>
  <c r="D560" i="4"/>
  <c r="D653" i="4"/>
  <c r="E653" i="4"/>
  <c r="E864" i="4"/>
  <c r="D864" i="4"/>
  <c r="E878" i="4"/>
  <c r="D878" i="4"/>
  <c r="E936" i="4"/>
  <c r="D936" i="4"/>
  <c r="E952" i="4"/>
  <c r="D952" i="4"/>
  <c r="E403" i="4"/>
  <c r="E455" i="4"/>
  <c r="D477" i="4"/>
  <c r="D572" i="4"/>
  <c r="E572" i="4"/>
  <c r="D647" i="4"/>
  <c r="E654" i="4"/>
  <c r="D654" i="4"/>
  <c r="D702" i="4"/>
  <c r="D747" i="4"/>
  <c r="E747" i="4"/>
  <c r="D807" i="4"/>
  <c r="E807" i="4"/>
  <c r="D920" i="4"/>
  <c r="E852" i="4"/>
  <c r="D852" i="4"/>
  <c r="E961" i="4"/>
  <c r="D961" i="4"/>
  <c r="E428" i="4"/>
  <c r="D428" i="4"/>
  <c r="D439" i="4"/>
  <c r="E439" i="4"/>
  <c r="E566" i="4"/>
  <c r="D566" i="4"/>
  <c r="E580" i="4"/>
  <c r="D580" i="4"/>
  <c r="E586" i="4"/>
  <c r="D586" i="4"/>
  <c r="E696" i="4"/>
  <c r="D696" i="4"/>
  <c r="D725" i="4"/>
  <c r="E725" i="4"/>
  <c r="D741" i="4"/>
  <c r="E741" i="4"/>
  <c r="D815" i="4"/>
  <c r="E815" i="4"/>
  <c r="E907" i="4"/>
  <c r="D907" i="4"/>
  <c r="D567" i="4"/>
  <c r="E567" i="4"/>
  <c r="E726" i="4"/>
  <c r="D726" i="4"/>
  <c r="E881" i="4"/>
  <c r="D881" i="4"/>
  <c r="E531" i="4"/>
  <c r="E543" i="4"/>
  <c r="D543" i="4"/>
  <c r="E555" i="4"/>
  <c r="D562" i="4"/>
  <c r="E562" i="4"/>
  <c r="D611" i="4"/>
  <c r="E661" i="4"/>
  <c r="D661" i="4"/>
  <c r="D682" i="4"/>
  <c r="E710" i="4"/>
  <c r="D710" i="4"/>
  <c r="D888" i="4"/>
  <c r="D915" i="4"/>
  <c r="E915" i="4"/>
  <c r="E396" i="4"/>
  <c r="D396" i="4"/>
  <c r="E473" i="4"/>
  <c r="D473" i="4"/>
  <c r="E520" i="4"/>
  <c r="D532" i="4"/>
  <c r="E532" i="4"/>
  <c r="D556" i="4"/>
  <c r="E556" i="4"/>
  <c r="D568" i="4"/>
  <c r="E581" i="4"/>
  <c r="D581" i="4"/>
  <c r="D593" i="4"/>
  <c r="E612" i="4"/>
  <c r="D612" i="4"/>
  <c r="E618" i="4"/>
  <c r="D618" i="4"/>
  <c r="E625" i="4"/>
  <c r="D625" i="4"/>
  <c r="E662" i="4"/>
  <c r="D662" i="4"/>
  <c r="E690" i="4"/>
  <c r="D690" i="4"/>
  <c r="E763" i="4"/>
  <c r="D763" i="4"/>
  <c r="D791" i="4"/>
  <c r="E860" i="4"/>
  <c r="D860" i="4"/>
  <c r="D463" i="4"/>
  <c r="E476" i="4"/>
  <c r="D498" i="4"/>
  <c r="E553" i="4"/>
  <c r="D626" i="4"/>
  <c r="E626" i="4"/>
  <c r="E674" i="4"/>
  <c r="D674" i="4"/>
  <c r="E680" i="4"/>
  <c r="D680" i="4"/>
  <c r="D709" i="4"/>
  <c r="E709" i="4"/>
  <c r="D739" i="4"/>
  <c r="E739" i="4"/>
  <c r="E845" i="4"/>
  <c r="D845" i="4"/>
  <c r="E871" i="4"/>
  <c r="D871" i="4"/>
  <c r="E884" i="4"/>
  <c r="D884" i="4"/>
  <c r="E597" i="4"/>
  <c r="D597" i="4"/>
  <c r="E700" i="4"/>
  <c r="D700" i="4"/>
  <c r="E789" i="4"/>
  <c r="D789" i="4"/>
  <c r="E828" i="4"/>
  <c r="D828" i="4"/>
  <c r="E905" i="4"/>
  <c r="D905" i="4"/>
  <c r="D687" i="4"/>
  <c r="E687" i="4"/>
  <c r="E790" i="4"/>
  <c r="D790" i="4"/>
  <c r="E664" i="4"/>
  <c r="D664" i="4"/>
  <c r="E753" i="4"/>
  <c r="D753" i="4"/>
  <c r="E818" i="4"/>
  <c r="D818" i="4"/>
  <c r="E823" i="4"/>
  <c r="D823" i="4"/>
  <c r="E866" i="4"/>
  <c r="D866" i="4"/>
  <c r="E880" i="4"/>
  <c r="D880" i="4"/>
  <c r="D968" i="4"/>
  <c r="E968" i="4"/>
  <c r="D688" i="4"/>
  <c r="E688" i="4"/>
  <c r="E742" i="4"/>
  <c r="D742" i="4"/>
  <c r="D759" i="4"/>
  <c r="E812" i="4"/>
  <c r="D812" i="4"/>
  <c r="E847" i="4"/>
  <c r="D847" i="4"/>
  <c r="D900" i="4"/>
  <c r="D935" i="4"/>
  <c r="E935" i="4"/>
  <c r="E969" i="4"/>
  <c r="D969" i="4"/>
  <c r="D604" i="4"/>
  <c r="E604" i="4"/>
  <c r="E730" i="4"/>
  <c r="D730" i="4"/>
  <c r="E748" i="4"/>
  <c r="D748" i="4"/>
  <c r="E855" i="4"/>
  <c r="D855" i="4"/>
  <c r="E894" i="4"/>
  <c r="D894" i="4"/>
  <c r="E575" i="4"/>
  <c r="D575" i="4"/>
  <c r="D677" i="4"/>
  <c r="E677" i="4"/>
  <c r="D683" i="4"/>
  <c r="E683" i="4"/>
  <c r="E697" i="4"/>
  <c r="D697" i="4"/>
  <c r="E713" i="4"/>
  <c r="D713" i="4"/>
  <c r="E731" i="4"/>
  <c r="D731" i="4"/>
  <c r="E761" i="4"/>
  <c r="D761" i="4"/>
  <c r="D768" i="4"/>
  <c r="E768" i="4"/>
  <c r="D814" i="4"/>
  <c r="E814" i="4"/>
  <c r="E825" i="4"/>
  <c r="D825" i="4"/>
  <c r="E849" i="4"/>
  <c r="D849" i="4"/>
  <c r="E868" i="4"/>
  <c r="D868" i="4"/>
  <c r="E889" i="4"/>
  <c r="D889" i="4"/>
  <c r="E921" i="4"/>
  <c r="D921" i="4"/>
  <c r="D929" i="4"/>
  <c r="E929" i="4"/>
  <c r="E971" i="4"/>
  <c r="D971" i="4"/>
  <c r="E843" i="4"/>
  <c r="D843" i="4"/>
  <c r="E862" i="4"/>
  <c r="D862" i="4"/>
  <c r="E902" i="4"/>
  <c r="D902" i="4"/>
  <c r="D944" i="4"/>
  <c r="E944" i="4"/>
  <c r="E684" i="4"/>
  <c r="D684" i="4"/>
  <c r="D808" i="4"/>
  <c r="D856" i="4"/>
  <c r="D869" i="4"/>
  <c r="E869" i="4"/>
  <c r="D909" i="4"/>
  <c r="E945" i="4"/>
  <c r="D945" i="4"/>
  <c r="D1004" i="4"/>
  <c r="E502" i="4"/>
  <c r="D502" i="4"/>
  <c r="E591" i="4"/>
  <c r="D591" i="4"/>
  <c r="E714" i="4"/>
  <c r="E780" i="4"/>
  <c r="E797" i="4"/>
  <c r="D797" i="4"/>
  <c r="D803" i="4"/>
  <c r="E803" i="4"/>
  <c r="E876" i="4"/>
  <c r="D876" i="4"/>
  <c r="D931" i="4"/>
  <c r="E931" i="4"/>
  <c r="E685" i="4"/>
  <c r="D685" i="4"/>
  <c r="D691" i="4"/>
  <c r="E691" i="4"/>
  <c r="E750" i="4"/>
  <c r="D750" i="4"/>
  <c r="E809" i="4"/>
  <c r="D809" i="4"/>
  <c r="D571" i="4"/>
  <c r="E601" i="4"/>
  <c r="D601" i="4"/>
  <c r="E641" i="4"/>
  <c r="D641" i="4"/>
  <c r="E657" i="4"/>
  <c r="D667" i="4"/>
  <c r="D720" i="4"/>
  <c r="E787" i="4"/>
  <c r="D793" i="4"/>
  <c r="E798" i="4"/>
  <c r="D798" i="4"/>
  <c r="E844" i="4"/>
  <c r="E897" i="4"/>
  <c r="E956" i="4"/>
  <c r="D956" i="4"/>
  <c r="D964" i="4"/>
  <c r="E964" i="4"/>
  <c r="D983" i="4"/>
  <c r="E983" i="4"/>
  <c r="E744" i="4"/>
  <c r="D744" i="4"/>
  <c r="E800" i="4"/>
  <c r="D800" i="4"/>
  <c r="E834" i="4"/>
  <c r="D834" i="4"/>
  <c r="D908" i="4"/>
  <c r="E908" i="4"/>
  <c r="E928" i="4"/>
  <c r="D928" i="4"/>
  <c r="E975" i="4"/>
  <c r="D975" i="4"/>
  <c r="E999" i="4"/>
  <c r="D999" i="4"/>
  <c r="E623" i="4"/>
  <c r="D623" i="4"/>
  <c r="E734" i="4"/>
  <c r="D734" i="4"/>
  <c r="E745" i="4"/>
  <c r="D745" i="4"/>
  <c r="D762" i="4"/>
  <c r="E762" i="4"/>
  <c r="E916" i="4"/>
  <c r="D916" i="4"/>
  <c r="E930" i="4"/>
  <c r="D930" i="4"/>
  <c r="E953" i="4"/>
  <c r="D953" i="4"/>
  <c r="E959" i="4"/>
  <c r="D959" i="4"/>
  <c r="D992" i="4"/>
  <c r="E992" i="4"/>
  <c r="E717" i="4"/>
  <c r="D717" i="4"/>
  <c r="E756" i="4"/>
  <c r="D756" i="4"/>
  <c r="E841" i="4"/>
  <c r="D841" i="4"/>
  <c r="E865" i="4"/>
  <c r="D865" i="4"/>
  <c r="D885" i="4"/>
  <c r="E885" i="4"/>
  <c r="D993" i="4"/>
  <c r="E993" i="4"/>
  <c r="E924" i="4"/>
  <c r="D924" i="4"/>
  <c r="D972" i="4"/>
  <c r="E979" i="4"/>
  <c r="D963" i="4"/>
  <c r="E963" i="4"/>
  <c r="E980" i="4"/>
  <c r="D980" i="4"/>
  <c r="D995" i="4"/>
  <c r="E995" i="4"/>
  <c r="E955" i="4"/>
  <c r="E981" i="4"/>
  <c r="D981" i="4"/>
  <c r="E870" i="4"/>
  <c r="D870" i="4"/>
  <c r="D883" i="4"/>
  <c r="E883" i="4"/>
  <c r="E895" i="4"/>
  <c r="D895" i="4"/>
  <c r="E998" i="4"/>
  <c r="D998" i="4"/>
  <c r="E989" i="4"/>
  <c r="D989" i="4"/>
  <c r="E816" i="4"/>
  <c r="D816" i="4"/>
  <c r="E857" i="4"/>
  <c r="D857" i="4"/>
  <c r="E910" i="4"/>
  <c r="D910" i="4"/>
  <c r="E926" i="4"/>
  <c r="D926" i="4"/>
  <c r="D946" i="4"/>
  <c r="D962" i="4"/>
  <c r="E990" i="4"/>
  <c r="D990" i="4"/>
  <c r="D996" i="4"/>
  <c r="D1002" i="4"/>
  <c r="E872" i="4"/>
  <c r="D872" i="4"/>
  <c r="E957" i="4"/>
  <c r="D957" i="4"/>
  <c r="E984" i="4"/>
  <c r="D1008" i="4"/>
  <c r="E767" i="4"/>
  <c r="D767" i="4"/>
  <c r="D835" i="4"/>
  <c r="E835" i="4"/>
  <c r="E941" i="4"/>
  <c r="D941" i="4"/>
  <c r="E853" i="4"/>
  <c r="D853" i="4"/>
  <c r="E887" i="4"/>
  <c r="D887" i="4"/>
  <c r="D991" i="4"/>
  <c r="E1009" i="4"/>
  <c r="D1009" i="4"/>
  <c r="E918" i="4"/>
  <c r="D918" i="4"/>
  <c r="E912" i="4"/>
  <c r="D912" i="4"/>
  <c r="E1005" i="4"/>
  <c r="D1005" i="4"/>
  <c r="E827" i="4"/>
  <c r="D827" i="4"/>
  <c r="E898" i="4"/>
  <c r="D898" i="4"/>
  <c r="E933" i="4"/>
  <c r="D1011" i="4"/>
  <c r="E1011" i="4"/>
  <c r="E782" i="4"/>
  <c r="D782" i="4"/>
  <c r="D879" i="4"/>
  <c r="E879" i="4"/>
  <c r="E934" i="4"/>
  <c r="D934" i="4"/>
  <c r="E949" i="4"/>
  <c r="D949" i="4"/>
  <c r="E965" i="4"/>
  <c r="D965" i="4"/>
  <c r="D1012" i="4"/>
  <c r="E1012" i="4"/>
  <c r="D899" i="4"/>
  <c r="E899" i="4"/>
  <c r="D960" i="4"/>
  <c r="E960" i="4"/>
  <c r="E1013" i="4"/>
  <c r="D1013" i="4"/>
  <c r="D904" i="4"/>
  <c r="E914" i="4"/>
  <c r="D914" i="4"/>
  <c r="D976" i="4"/>
  <c r="D982" i="4"/>
  <c r="E1006" i="4"/>
  <c r="E838" i="4"/>
  <c r="D838" i="4"/>
  <c r="E977" i="4"/>
  <c r="D977" i="4"/>
  <c r="E1001" i="4"/>
  <c r="D1001" i="4"/>
  <c r="D973" i="4"/>
  <c r="E997" i="4"/>
  <c r="E805" i="4"/>
  <c r="D922" i="4"/>
  <c r="D950" i="4"/>
  <c r="E1014" i="4"/>
  <c r="D1014" i="4"/>
</calcChain>
</file>

<file path=xl/sharedStrings.xml><?xml version="1.0" encoding="utf-8"?>
<sst xmlns="http://schemas.openxmlformats.org/spreadsheetml/2006/main" count="300" uniqueCount="236">
  <si>
    <t>Desktop 6-DOF Arm | Design Workbook</t>
  </si>
  <si>
    <t>Scope</t>
  </si>
  <si>
    <t>Repo-derived snapshot. The project goal is a desktop 6-DOF manipulator; current work is Phase 2 characterization of one 15:1 cycloidal reducer.</t>
  </si>
  <si>
    <t>Evidence rule</t>
  </si>
  <si>
    <t>Documented values are separated from inferred planning quantities and unresolved targets. TBD values are intentionally not guessed.</t>
  </si>
  <si>
    <t>BOM</t>
  </si>
  <si>
    <t>Items and statuses are transcribed from repo docs. Six-joint quantities are planning counts only where marked inferred; confirm before purchasing.</t>
  </si>
  <si>
    <t>Epicycloid</t>
  </si>
  <si>
    <t>The Epicycloid tab implements a standard rolling-circle epicycloid and exports equation strings/coordinates. This is not the cycloidal reducer disk profile.</t>
  </si>
  <si>
    <t>Regenerate</t>
  </si>
  <si>
    <t>Run scripts\generate_arm_design_workbook.ps1 in Windows PowerShell with Microsoft Excel installed.</t>
  </si>
  <si>
    <t>Source documents</t>
  </si>
  <si>
    <t>docs/copilot-context.md</t>
  </si>
  <si>
    <t>docs/reducer-test-protocol.md</t>
  </si>
  <si>
    <t>hardware/pinouts/uno-tmc2209-as5600-tca9548a.md</t>
  </si>
  <si>
    <t>src/main.cpp</t>
  </si>
  <si>
    <t>Category</t>
  </si>
  <si>
    <t>Item</t>
  </si>
  <si>
    <t>Specification / role</t>
  </si>
  <si>
    <t>Current bench qty</t>
  </si>
  <si>
    <t>6-DOF planning qty</t>
  </si>
  <si>
    <t>Status</t>
  </si>
  <si>
    <t>Evidence / caveat</t>
  </si>
  <si>
    <t>Actuation</t>
  </si>
  <si>
    <t>NEMA 17 stepper motor</t>
  </si>
  <si>
    <t>1.5 A, 42 NÂ·cm torque; selected architecture</t>
  </si>
  <si>
    <t>TBD</t>
  </si>
  <si>
    <t>6 (inferred)</t>
  </si>
  <si>
    <t>Design decision</t>
  </si>
  <si>
    <t>docs/copilot-context.md; exact installed motor count is not stated.</t>
  </si>
  <si>
    <t>TMC2209 stepper driver</t>
  </si>
  <si>
    <t>Step/dir driver; EN active LOW on typical modules</t>
  </si>
  <si>
    <t>1 axis under test</t>
  </si>
  <si>
    <t>In use / planned</t>
  </si>
  <si>
    <t>src/main.cpp; one driver per joint assumed for planning.</t>
  </si>
  <si>
    <t>Sensing</t>
  </si>
  <si>
    <t>AS5600 magnetic encoder</t>
  </si>
  <si>
    <t>Single-turn absolute, 0â€“360Â°; currently on motor shaft</t>
  </si>
  <si>
    <t>Motor-side sensing does not measure reducer output error or backlash.</t>
  </si>
  <si>
    <t>Diametric magnet</t>
  </si>
  <si>
    <t>AS5600 shaft magnet</t>
  </si>
  <si>
    <t>Required / count TBD</t>
  </si>
  <si>
    <t>One per encoder; exact magnet specification is not documented.</t>
  </si>
  <si>
    <t>Drivetrain</t>
  </si>
  <si>
    <t>Cycloidal reducer</t>
  </si>
  <si>
    <t>15:1 assumed ratio; manufactured units on bench</t>
  </si>
  <si>
    <t>Count TBD</t>
  </si>
  <si>
    <t>Bench characterization</t>
  </si>
  <si>
    <t>docs/copilot-context.md; design dimensions and measured performance TBD.</t>
  </si>
  <si>
    <t>AXK2542 needle thrust bearing</t>
  </si>
  <si>
    <t>25 mm bore; base axial/moment support</t>
  </si>
  <si>
    <t>1 ordered</t>
  </si>
  <si>
    <t>Ordered</t>
  </si>
  <si>
    <t>docs/copilot-context.md; base joint.</t>
  </si>
  <si>
    <t>Control</t>
  </si>
  <si>
    <t>Arduino Uno</t>
  </si>
  <si>
    <t>Phase 1/2 controller</t>
  </si>
  <si>
    <t>Available / in use</t>
  </si>
  <si>
    <t>Multi-axis controller architecture is not selected.</t>
  </si>
  <si>
    <t>TCA9548A IÂ²C mux</t>
  </si>
  <si>
    <t>Deferred until multiple encoders are tested</t>
  </si>
  <si>
    <t>Deferred</t>
  </si>
  <si>
    <t>Single AS5600 is wired directly to Uno A4/A5; mux is not currently used.</t>
  </si>
  <si>
    <t>Test equipment</t>
  </si>
  <si>
    <t>HX711 load-cell amplifier</t>
  </si>
  <si>
    <t>Backlash dead-band test</t>
  </si>
  <si>
    <t>Ordered; qty TBD</t>
  </si>
  <si>
    <t>1 test setup</t>
  </si>
  <si>
    <t>docs/copilot-context.md; not required per joint for the planned bench method.</t>
  </si>
  <si>
    <t>Kitchen-scale load cell</t>
  </si>
  <si>
    <t>5 kg full scale, about 49 N; use low preload for calibration</t>
  </si>
  <si>
    <t>Available / test setup</t>
  </si>
  <si>
    <t>docs/copilot-context.md and docs/reducer-test-protocol.md.</t>
  </si>
  <si>
    <t>Omron V-156-1C25 switch</t>
  </si>
  <si>
    <t>SPDT snap-action; NO to D7, LOW while touching</t>
  </si>
  <si>
    <t>1 required</t>
  </si>
  <si>
    <t>Required for backlash test</t>
  </si>
  <si>
    <t>hardware/pinouts/uno-tmc2209-as5600-tca9548a.md.</t>
  </si>
  <si>
    <t>Power</t>
  </si>
  <si>
    <t>Bench power supply</t>
  </si>
  <si>
    <t>30 V, 10 A</t>
  </si>
  <si>
    <t>1 shared</t>
  </si>
  <si>
    <t>Available</t>
  </si>
  <si>
    <t>docs/copilot-context.md; driver VMOT supply.</t>
  </si>
  <si>
    <t>VMOT bulk capacitor</t>
  </si>
  <si>
    <t>100â€“470 ÂµF electrolytic near driver</t>
  </si>
  <si>
    <t>Required / qty TBD</t>
  </si>
  <si>
    <t>hardware/pinouts/uno-tmc2209-as5600-tca9548a.md; per-driver recommendation.</t>
  </si>
  <si>
    <t>End effector</t>
  </si>
  <si>
    <t>3D-printed rack-and-pinion gripper</t>
  </si>
  <si>
    <t>One gripper; controlled holding force desired</t>
  </si>
  <si>
    <t>1 concept</t>
  </si>
  <si>
    <t>Concept / actuator TBD</t>
  </si>
  <si>
    <t>Pneumatic actuation preferred; servo alternative. Finger geometry and force range are not specified.</t>
  </si>
  <si>
    <t>Structure</t>
  </si>
  <si>
    <t>M3 fastener kit</t>
  </si>
  <si>
    <t>General assembly fasteners</t>
  </si>
  <si>
    <t>1 kit</t>
  </si>
  <si>
    <t>docs/copilot-context.md; detailed fastener schedule not designed.</t>
  </si>
  <si>
    <t>Printed structural parts</t>
  </si>
  <si>
    <t>PETG recommended; avoid PLA near warm load-bearing motor parts</t>
  </si>
  <si>
    <t>Design / fabricate</t>
  </si>
  <si>
    <t>Bambu P1S available; final part count and mass TBD.</t>
  </si>
  <si>
    <t>TPU strain relief / grommets</t>
  </si>
  <si>
    <t>Cable strain relief</t>
  </si>
  <si>
    <t>Optional / design</t>
  </si>
  <si>
    <t>Material guidance in docs/copilot-context.md.</t>
  </si>
  <si>
    <t>Arm links, joints, output hubs, covers</t>
  </si>
  <si>
    <t>Geometry, material, and fastener schedule not specified</t>
  </si>
  <si>
    <t>Not designed</t>
  </si>
  <si>
    <t>Required for full arm; no dimensions or counts in repo.</t>
  </si>
  <si>
    <t>Wiring</t>
  </si>
  <si>
    <t>Motor / sensor wiring and connectors</t>
  </si>
  <si>
    <t>Separate sensor wiring from motor power; shared ground</t>
  </si>
  <si>
    <t>Exact wire gauges, lengths, and connector series are not documented.</t>
  </si>
  <si>
    <t>Arduino Uno / driver logic wiring</t>
  </si>
  <si>
    <t>D2 STEP, D3 DIR, D4 EN; A4/A5 AS5600; D5/D6 HX711; D7 switch</t>
  </si>
  <si>
    <t>1 axis</t>
  </si>
  <si>
    <t>In use / expand later</t>
  </si>
  <si>
    <t>Pinout from hardware/pinouts/uno-tmc2209-as5600-tca9548a.md.</t>
  </si>
  <si>
    <t>Area</t>
  </si>
  <si>
    <t>Target / parameter</t>
  </si>
  <si>
    <t>Value</t>
  </si>
  <si>
    <t>Unit</t>
  </si>
  <si>
    <t>Source / notes</t>
  </si>
  <si>
    <t>Mission</t>
  </si>
  <si>
    <t>Degrees of freedom</t>
  </si>
  <si>
    <t>axes</t>
  </si>
  <si>
    <t>Project goal</t>
  </si>
  <si>
    <t>Arm performance</t>
  </si>
  <si>
    <t>Useful payload capacity</t>
  </si>
  <si>
    <t>kg</t>
  </si>
  <si>
    <t>Provisional target</t>
  </si>
  <si>
    <t>Tool/gripper mass excluded from useful payload; include it in joint load calculations. User target; not yet validated.</t>
  </si>
  <si>
    <t>Arm geometry</t>
  </si>
  <si>
    <t>Maximum reach to tool center point</t>
  </si>
  <si>
    <t>mm (about 15 in)</t>
  </si>
  <si>
    <t>Measure from base rotation axis to tool center point at full extension; desk workspace layout TBD.</t>
  </si>
  <si>
    <t>Opposite-side workspace transfer</t>
  </si>
  <si>
    <t>5 max</t>
  </si>
  <si>
    <t>s</t>
  </si>
  <si>
    <t>Provisional maximum</t>
  </si>
  <si>
    <t>With full target payload; endpoints/path and inclusion of grasp/release time need confirmation.</t>
  </si>
  <si>
    <t>Gripper concept</t>
  </si>
  <si>
    <t>3D-printed rack-and-pinion</t>
  </si>
  <si>
    <t>Concept</t>
  </si>
  <si>
    <t>Pneumatic actuation with controlled holding force preferred; servo is an alternative. Not selected or tested.</t>
  </si>
  <si>
    <t>Demo use case</t>
  </si>
  <si>
    <t>Phone / compact camera</t>
  </si>
  <si>
    <t>Aspirational</t>
  </si>
  <si>
    <t>Candidate demo</t>
  </si>
  <si>
    <t>Specific device and mount must fit within the 0.5 kg useful payload budget.</t>
  </si>
  <si>
    <t>Payload-only static shoulder moment at full reach</t>
  </si>
  <si>
    <t>NÂ·m</t>
  </si>
  <si>
    <t>Derived lower bound</t>
  </si>
  <si>
    <t>0.5 kg x 9.81 m/sÂ² x 0.381 m; excludes gripper, links, friction, and dynamic margin.</t>
  </si>
  <si>
    <t>Whole-arm accuracy / repeatability</t>
  </si>
  <si>
    <t>mm</t>
  </si>
  <si>
    <t>Not specified</t>
  </si>
  <si>
    <t>Needs whole-arm output measurement; current AS5600 is motor-side.</t>
  </si>
  <si>
    <t>Output accuracy / repeatability</t>
  </si>
  <si>
    <t>deg or mm</t>
  </si>
  <si>
    <t>Needs output-side measurement; present AS5600 is motor-side.</t>
  </si>
  <si>
    <t>Joint actuation</t>
  </si>
  <si>
    <t>Motor</t>
  </si>
  <si>
    <t>NEMA 17; 1.5 A; 42</t>
  </si>
  <si>
    <t>A; NÂ·cm</t>
  </si>
  <si>
    <t>Architecture decision</t>
  </si>
  <si>
    <t>docs/copilot-context.md; verify exact purchased motor.</t>
  </si>
  <si>
    <t>Joint drivetrain</t>
  </si>
  <si>
    <t>Reducer ratio</t>
  </si>
  <si>
    <t>ratio</t>
  </si>
  <si>
    <t>Assumed in firmware</t>
  </si>
  <si>
    <t>src/main.cpp; verify actual manufactured unit.</t>
  </si>
  <si>
    <t>Motor control</t>
  </si>
  <si>
    <t>Full steps / revolution</t>
  </si>
  <si>
    <t>steps/rev</t>
  </si>
  <si>
    <t>Configured</t>
  </si>
  <si>
    <t>src/main.cpp; corresponds to 1.8Â° stepper.</t>
  </si>
  <si>
    <t>Microsteps</t>
  </si>
  <si>
    <t>microsteps/full step</t>
  </si>
  <si>
    <t>Configured; verify hardware</t>
  </si>
  <si>
    <t>src/main.cpp; must match TMC2209 MS configuration.</t>
  </si>
  <si>
    <t>Reducer test</t>
  </si>
  <si>
    <t>Sweep output range</t>
  </si>
  <si>
    <t>deg</t>
  </si>
  <si>
    <t>src/main.cpp; per directional sweep.</t>
  </si>
  <si>
    <t>Sweep cycles</t>
  </si>
  <si>
    <t>cycles</t>
  </si>
  <si>
    <t>src/main.cpp.</t>
  </si>
  <si>
    <t>Load-cell preload</t>
  </si>
  <si>
    <t>N</t>
  </si>
  <si>
    <t>Configured target</t>
  </si>
  <si>
    <t>src/main.cpp; calibrate against known low-range weight.</t>
  </si>
  <si>
    <t>Force-zero threshold</t>
  </si>
  <si>
    <t>Placeholder; calibrate</t>
  </si>
  <si>
    <t>src/main.cpp explicitly says set from measured noise floor.</t>
  </si>
  <si>
    <t>Load-cell capacity</t>
  </si>
  <si>
    <t>about 49</t>
  </si>
  <si>
    <t>Known</t>
  </si>
  <si>
    <t>5 kg kitchen-scale cell; test preload is only about 1â€“2 N.</t>
  </si>
  <si>
    <t>Backlash and breakaway torque specs</t>
  </si>
  <si>
    <t>arcmin; NÂ·m</t>
  </si>
  <si>
    <t>Measure before setting</t>
  </si>
  <si>
    <t>docs/reducer-test-protocol.md; no acceptance limits documented.</t>
  </si>
  <si>
    <t>Electrical</t>
  </si>
  <si>
    <t>Bench supply</t>
  </si>
  <si>
    <t>V; A</t>
  </si>
  <si>
    <t>docs/copilot-context.md; not a final arm power budget.</t>
  </si>
  <si>
    <t>Encoder range</t>
  </si>
  <si>
    <t>0â€“360</t>
  </si>
  <si>
    <t>AS5600 single-turn</t>
  </si>
  <si>
    <t>Motor-shaft measurement only in current mounting.</t>
  </si>
  <si>
    <t>Phase</t>
  </si>
  <si>
    <t>Current development phase</t>
  </si>
  <si>
    <t>Phase 2</t>
  </si>
  <si>
    <t>Reducer characterization</t>
  </si>
  <si>
    <t>Full 6-axis arm build targets remain to be specified.</t>
  </si>
  <si>
    <t>Standard Epicycloid Calculator</t>
  </si>
  <si>
    <t>Not the cycloidal reducer disk profile; use only when a standard epicycloid is intended.</t>
  </si>
  <si>
    <t>Fixed-circle radius R</t>
  </si>
  <si>
    <t>Rolling-circle radius r</t>
  </si>
  <si>
    <t>Length unit</t>
  </si>
  <si>
    <t>Parameter start angle</t>
  </si>
  <si>
    <t>Parameter end angle</t>
  </si>
  <si>
    <t>Coordinate sample count</t>
  </si>
  <si>
    <t>Cusps per complete curve (if integer)</t>
  </si>
  <si>
    <t>SolidWorks parameter t</t>
  </si>
  <si>
    <t>Radians; x and y below use t</t>
  </si>
  <si>
    <t>SolidWorks X(t)</t>
  </si>
  <si>
    <t>SolidWorks Y(t)</t>
  </si>
  <si>
    <t>Sample</t>
  </si>
  <si>
    <t>Angle (deg)</t>
  </si>
  <si>
    <t>t (rad)</t>
  </si>
  <si>
    <t>X (mm)</t>
  </si>
  <si>
    <t>Y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</si>
</sst>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rgb="FFFFFFFF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rgb="FF1F3555"/>
        <bgColor indexed="64"/>
      </patternFill>
    </fill>
    <fill>
      <patternFill patternType="solid">
        <fgColor rgb="FFF5E8D9"/>
        <bgColor indexed="64"/>
      </patternFill>
    </fill>
    <fill>
      <patternFill patternType="solid">
        <fgColor rgb="FFFFF2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20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3" fillId="2" borderId="0" xfId="0" applyFont="1" applyFill="1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46F3-FA64-4B11-B84C-C44E0F2AF0D2}">
  <dimension ref="A1:H1014"/>
  <sheetViews>
    <sheetView tabSelected="1" workbookViewId="0"/>
  </sheetViews>
  <sheetFormatPr defaultRowHeight="14.4" x14ac:dyDescent="0.3"/>
  <cols>
    <col min="1" max="1" width="35.77734375" customWidth="1"/>
    <col min="2" max="2" width="92.77734375" customWidth="1"/>
    <col min="3" max="3" width="22.77734375" customWidth="1"/>
    <col min="4" max="5" width="18.77734375" customWidth="1"/>
  </cols>
  <sheetData>
    <row r="1" spans="1:8" x14ac:dyDescent="0.3">
      <c r="A1" s="12" t="s">
        <v>218</v>
      </c>
      <c r="B1" s="12"/>
      <c r="C1" s="12"/>
      <c r="D1" s="12"/>
      <c r="E1" s="12"/>
      <c r="F1" s="5"/>
      <c r="G1" s="5"/>
      <c r="H1" s="5"/>
    </row>
    <row r="2" spans="1:8" ht="30" customHeight="1" x14ac:dyDescent="0.3">
      <c r="A2" s="6" t="s">
        <v>219</v>
      </c>
      <c r="B2" s="6"/>
      <c r="C2" s="6"/>
      <c r="D2" s="6"/>
      <c r="E2" s="6"/>
      <c r="F2" s="6"/>
      <c r="G2" s="6"/>
      <c r="H2" s="6"/>
    </row>
    <row r="3" spans="1:8" x14ac:dyDescent="0.3">
      <c r="A3" s="7" t="s">
        <v>220</v>
      </c>
      <c r="B3" s="8">
        <v>25</v>
      </c>
      <c r="C3" s="9"/>
      <c r="D3" s="9"/>
      <c r="E3" s="9"/>
      <c r="F3" s="5"/>
      <c r="G3" s="5"/>
      <c r="H3" s="5"/>
    </row>
    <row r="4" spans="1:8" x14ac:dyDescent="0.3">
      <c r="A4" s="7" t="s">
        <v>221</v>
      </c>
      <c r="B4" s="8">
        <v>5</v>
      </c>
      <c r="C4" s="9"/>
      <c r="D4" s="9"/>
      <c r="E4" s="9"/>
      <c r="F4" s="5"/>
      <c r="G4" s="5"/>
      <c r="H4" s="5"/>
    </row>
    <row r="5" spans="1:8" x14ac:dyDescent="0.3">
      <c r="A5" s="7" t="s">
        <v>222</v>
      </c>
      <c r="B5" s="8" t="s">
        <v>157</v>
      </c>
      <c r="C5" s="9"/>
      <c r="D5" s="9"/>
      <c r="E5" s="9"/>
      <c r="F5" s="5"/>
      <c r="G5" s="5"/>
      <c r="H5" s="5"/>
    </row>
    <row r="6" spans="1:8" x14ac:dyDescent="0.3">
      <c r="A6" s="7" t="s">
        <v>223</v>
      </c>
      <c r="B6" s="8">
        <v>0</v>
      </c>
      <c r="C6" s="9" t="s">
        <v>185</v>
      </c>
      <c r="D6" s="9"/>
      <c r="E6" s="9"/>
      <c r="F6" s="5"/>
      <c r="G6" s="5"/>
      <c r="H6" s="5"/>
    </row>
    <row r="7" spans="1:8" x14ac:dyDescent="0.3">
      <c r="A7" s="7" t="s">
        <v>224</v>
      </c>
      <c r="B7" s="8">
        <v>360</v>
      </c>
      <c r="C7" s="9" t="s">
        <v>185</v>
      </c>
      <c r="D7" s="9"/>
      <c r="E7" s="9"/>
      <c r="F7" s="5"/>
      <c r="G7" s="5"/>
      <c r="H7" s="5"/>
    </row>
    <row r="8" spans="1:8" x14ac:dyDescent="0.3">
      <c r="A8" s="7" t="s">
        <v>225</v>
      </c>
      <c r="B8" s="8">
        <v>361</v>
      </c>
      <c r="C8" s="9"/>
      <c r="D8" s="9"/>
      <c r="E8" s="9"/>
      <c r="F8" s="5"/>
      <c r="G8" s="5"/>
      <c r="H8" s="5"/>
    </row>
    <row r="9" spans="1:8" x14ac:dyDescent="0.3">
      <c r="A9" s="7" t="s">
        <v>226</v>
      </c>
      <c r="B9" s="9">
        <f>IFERROR((B3+B4)/B4,"invalid r")</f>
        <v>6</v>
      </c>
      <c r="C9" s="9"/>
      <c r="D9" s="9"/>
      <c r="E9" s="9"/>
      <c r="F9" s="5"/>
      <c r="G9" s="5"/>
      <c r="H9" s="5"/>
    </row>
    <row r="10" spans="1:8" x14ac:dyDescent="0.3">
      <c r="A10" s="7" t="s">
        <v>227</v>
      </c>
      <c r="B10" s="9" t="s">
        <v>228</v>
      </c>
      <c r="C10" s="9"/>
      <c r="D10" s="9"/>
      <c r="E10" s="9"/>
      <c r="F10" s="5"/>
      <c r="G10" s="5"/>
      <c r="H10" s="5"/>
    </row>
    <row r="11" spans="1:8" x14ac:dyDescent="0.3">
      <c r="A11" s="7" t="s">
        <v>229</v>
      </c>
      <c r="B11" s="9" t="str">
        <f>"x(t) = ("&amp;TEXT(B3,"0.000")&amp;"mm+"&amp;TEXT(B4,"0.000")&amp;"mm)*cos(t)-"&amp;TEXT(B4,"0.000")&amp;"mm*cos((("&amp;TEXT(B3,"0.000")&amp;"mm+"&amp;TEXT(B4,"0.000")&amp;"mm)/"&amp;TEXT(B4,"0.000")&amp;"mm)*t)"</f>
        <v>x(t) = (25.000mm+5.000mm)*cos(t)-5.000mm*cos(((25.000mm+5.000mm)/5.000mm)*t)</v>
      </c>
      <c r="C11" s="9"/>
      <c r="D11" s="9"/>
      <c r="E11" s="9"/>
      <c r="F11" s="5"/>
      <c r="G11" s="5"/>
      <c r="H11" s="5"/>
    </row>
    <row r="12" spans="1:8" x14ac:dyDescent="0.3">
      <c r="A12" s="7" t="s">
        <v>230</v>
      </c>
      <c r="B12" s="9" t="str">
        <f>"y(t) = ("&amp;TEXT(B3,"0.000")&amp;"mm+"&amp;TEXT(B4,"0.000")&amp;"mm)*sin(t)-"&amp;TEXT(B4,"0.000")&amp;"mm*sin((("&amp;TEXT(B3,"0.000")&amp;"mm+"&amp;TEXT(B4,"0.000")&amp;"mm)/"&amp;TEXT(B4,"0.000")&amp;"mm)*t)"</f>
        <v>y(t) = (25.000mm+5.000mm)*sin(t)-5.000mm*sin(((25.000mm+5.000mm)/5.000mm)*t)</v>
      </c>
      <c r="C12" s="9"/>
      <c r="D12" s="9"/>
      <c r="E12" s="9"/>
      <c r="F12" s="5"/>
      <c r="G12" s="5"/>
      <c r="H12" s="5"/>
    </row>
    <row r="13" spans="1:8" x14ac:dyDescent="0.3">
      <c r="A13" s="9"/>
      <c r="B13" s="9"/>
      <c r="C13" s="9"/>
      <c r="D13" s="9"/>
      <c r="E13" s="9"/>
      <c r="F13" s="5"/>
      <c r="G13" s="5"/>
      <c r="H13" s="5"/>
    </row>
    <row r="14" spans="1:8" x14ac:dyDescent="0.3">
      <c r="A14" s="10" t="s">
        <v>231</v>
      </c>
      <c r="B14" s="10" t="s">
        <v>232</v>
      </c>
      <c r="C14" s="10" t="s">
        <v>233</v>
      </c>
      <c r="D14" s="10" t="s">
        <v>234</v>
      </c>
      <c r="E14" s="10" t="s">
        <v>235</v>
      </c>
      <c r="F14" s="5"/>
      <c r="G14" s="5"/>
      <c r="H14" s="5"/>
    </row>
    <row r="15" spans="1:8" x14ac:dyDescent="0.3">
      <c r="A15" s="9">
        <f>ROW()-ROW($A$14)</f>
        <v>1</v>
      </c>
      <c r="B15" s="9">
        <f>IF(A15&lt;=$B$8,$B$6+(A15-1)*($B$7-$B$6)/MAX(1,$B$8-1),NA())</f>
        <v>0</v>
      </c>
      <c r="C15" s="9">
        <f>RADIANS(B15)</f>
        <v>0</v>
      </c>
      <c r="D15" s="9">
        <f>($B$3+$B$4)*COS(C15)-$B$4*COS((($B$3+$B$4)/$B$4)*C15)</f>
        <v>25</v>
      </c>
      <c r="E15" s="9">
        <f>($B$3+$B$4)*SIN(C15)-$B$4*SIN((($B$3+$B$4)/$B$4)*C15)</f>
        <v>0</v>
      </c>
      <c r="F15" s="5"/>
      <c r="G15" s="5"/>
      <c r="H15" s="5"/>
    </row>
    <row r="16" spans="1:8" x14ac:dyDescent="0.3">
      <c r="A16" s="9">
        <f>ROW()-ROW($A$14)</f>
        <v>2</v>
      </c>
      <c r="B16" s="9">
        <f>IF(A16&lt;=$B$8,$B$6+(A16-1)*($B$7-$B$6)/MAX(1,$B$8-1),NA())</f>
        <v>1</v>
      </c>
      <c r="C16" s="9">
        <f>RADIANS(B16)</f>
        <v>1.7453292519943295E-2</v>
      </c>
      <c r="D16" s="9">
        <f>($B$3+$B$4)*COS(C16)-$B$4*COS((($B$3+$B$4)/$B$4)*C16)</f>
        <v>25.02282137785037</v>
      </c>
      <c r="E16" s="9">
        <f>($B$3+$B$4)*SIN(C16)-$B$4*SIN((($B$3+$B$4)/$B$4)*C16)</f>
        <v>9.2987678023792597E-4</v>
      </c>
      <c r="F16" s="5"/>
      <c r="G16" s="5"/>
      <c r="H16" s="5"/>
    </row>
    <row r="17" spans="1:8" x14ac:dyDescent="0.3">
      <c r="A17" s="9">
        <f>ROW()-ROW($A$14)</f>
        <v>3</v>
      </c>
      <c r="B17" s="9">
        <f>IF(A17&lt;=$B$8,$B$6+(A17-1)*($B$7-$B$6)/MAX(1,$B$8-1),NA())</f>
        <v>2</v>
      </c>
      <c r="C17" s="9">
        <f>RADIANS(B17)</f>
        <v>3.4906585039886591E-2</v>
      </c>
      <c r="D17" s="9">
        <f>($B$3+$B$4)*COS(C17)-$B$4*COS((($B$3+$B$4)/$B$4)*C17)</f>
        <v>25.090986806903846</v>
      </c>
      <c r="E17" s="9">
        <f>($B$3+$B$4)*SIN(C17)-$B$4*SIN((($B$3+$B$4)/$B$4)*C17)</f>
        <v>7.4264469862324045E-3</v>
      </c>
      <c r="F17" s="5"/>
      <c r="G17" s="5"/>
      <c r="H17" s="5"/>
    </row>
    <row r="18" spans="1:8" x14ac:dyDescent="0.3">
      <c r="A18" s="9">
        <f>ROW()-ROW($A$14)</f>
        <v>4</v>
      </c>
      <c r="B18" s="9">
        <f>IF(A18&lt;=$B$8,$B$6+(A18-1)*($B$7-$B$6)/MAX(1,$B$8-1),NA())</f>
        <v>3</v>
      </c>
      <c r="C18" s="9">
        <f>RADIANS(B18)</f>
        <v>5.235987755982989E-2</v>
      </c>
      <c r="D18" s="9">
        <f>($B$3+$B$4)*COS(C18)-$B$4*COS((($B$3+$B$4)/$B$4)*C18)</f>
        <v>25.203603461161446</v>
      </c>
      <c r="E18" s="9">
        <f>($B$3+$B$4)*SIN(C18)-$B$4*SIN((($B$3+$B$4)/$B$4)*C18)</f>
        <v>2.4993715413577977E-2</v>
      </c>
      <c r="F18" s="5"/>
      <c r="G18" s="5"/>
      <c r="H18" s="5"/>
    </row>
    <row r="19" spans="1:8" x14ac:dyDescent="0.3">
      <c r="A19" s="9">
        <f>ROW()-ROW($A$14)</f>
        <v>5</v>
      </c>
      <c r="B19" s="9">
        <f>IF(A19&lt;=$B$8,$B$6+(A19-1)*($B$7-$B$6)/MAX(1,$B$8-1),NA())</f>
        <v>4</v>
      </c>
      <c r="C19" s="9">
        <f>RADIANS(B19)</f>
        <v>6.9813170079773182E-2</v>
      </c>
      <c r="D19" s="9">
        <f>($B$3+$B$4)*COS(C19)-$B$4*COS((($B$3+$B$4)/$B$4)*C19)</f>
        <v>25.359194219581724</v>
      </c>
      <c r="E19" s="9">
        <f>($B$3+$B$4)*SIN(C19)-$B$4*SIN((($B$3+$B$4)/$B$4)*C19)</f>
        <v>5.9010996944758087E-2</v>
      </c>
      <c r="F19" s="5"/>
      <c r="G19" s="5"/>
      <c r="H19" s="5"/>
    </row>
    <row r="20" spans="1:8" x14ac:dyDescent="0.3">
      <c r="A20" s="9">
        <f>ROW()-ROW($A$14)</f>
        <v>6</v>
      </c>
      <c r="B20" s="9">
        <f>IF(A20&lt;=$B$8,$B$6+(A20-1)*($B$7-$B$6)/MAX(1,$B$8-1),NA())</f>
        <v>5</v>
      </c>
      <c r="C20" s="9">
        <f>RADIANS(B20)</f>
        <v>8.7266462599716474E-2</v>
      </c>
      <c r="D20" s="9">
        <f>($B$3+$B$4)*COS(C20)-$B$4*COS((($B$3+$B$4)/$B$4)*C20)</f>
        <v>25.555713923830172</v>
      </c>
      <c r="E20" s="9">
        <f>($B$3+$B$4)*SIN(C20)-$B$4*SIN((($B$3+$B$4)/$B$4)*C20)</f>
        <v>0.11467228242974548</v>
      </c>
      <c r="F20" s="5"/>
      <c r="G20" s="5"/>
      <c r="H20" s="5"/>
    </row>
    <row r="21" spans="1:8" x14ac:dyDescent="0.3">
      <c r="A21" s="9">
        <f>ROW()-ROW($A$14)</f>
        <v>7</v>
      </c>
      <c r="B21" s="9">
        <f>IF(A21&lt;=$B$8,$B$6+(A21-1)*($B$7-$B$6)/MAX(1,$B$8-1),NA())</f>
        <v>6</v>
      </c>
      <c r="C21" s="9">
        <f>RADIANS(B21)</f>
        <v>0.10471975511965978</v>
      </c>
      <c r="D21" s="9">
        <f>($B$3+$B$4)*COS(C21)-$B$4*COS((($B$3+$B$4)/$B$4)*C21)</f>
        <v>25.790571889173464</v>
      </c>
      <c r="E21" s="9">
        <f>($B$3+$B$4)*SIN(C21)-$B$4*SIN((($B$3+$B$4)/$B$4)*C21)</f>
        <v>0.19692763656723811</v>
      </c>
      <c r="F21" s="5"/>
      <c r="G21" s="5"/>
      <c r="H21" s="5"/>
    </row>
    <row r="22" spans="1:8" x14ac:dyDescent="0.3">
      <c r="A22" s="9">
        <f>ROW()-ROW($A$14)</f>
        <v>8</v>
      </c>
      <c r="B22" s="9">
        <f>IF(A22&lt;=$B$8,$B$6+(A22-1)*($B$7-$B$6)/MAX(1,$B$8-1),NA())</f>
        <v>7</v>
      </c>
      <c r="C22" s="9">
        <f>RADIANS(B22)</f>
        <v>0.12217304763960307</v>
      </c>
      <c r="D22" s="9">
        <f>($B$3+$B$4)*COS(C22)-$B$4*COS((($B$3+$B$4)/$B$4)*C22)</f>
        <v>26.060660421852688</v>
      </c>
      <c r="E22" s="9">
        <f>($B$3+$B$4)*SIN(C22)-$B$4*SIN((($B$3+$B$4)/$B$4)*C22)</f>
        <v>0.31042727036013318</v>
      </c>
      <c r="F22" s="5"/>
      <c r="G22" s="5"/>
      <c r="H22" s="5"/>
    </row>
    <row r="23" spans="1:8" x14ac:dyDescent="0.3">
      <c r="A23" s="9">
        <f>ROW()-ROW($A$14)</f>
        <v>9</v>
      </c>
      <c r="B23" s="9">
        <f>IF(A23&lt;=$B$8,$B$6+(A23-1)*($B$7-$B$6)/MAX(1,$B$8-1),NA())</f>
        <v>8</v>
      </c>
      <c r="C23" s="9">
        <f>RADIANS(B23)</f>
        <v>0.13962634015954636</v>
      </c>
      <c r="D23" s="9">
        <f>($B$3+$B$4)*COS(C23)-$B$4*COS((($B$3+$B$4)/$B$4)*C23)</f>
        <v>26.362389030452817</v>
      </c>
      <c r="E23" s="9">
        <f>($B$3+$B$4)*SIN(C23)-$B$4*SIN((($B$3+$B$4)/$B$4)*C23)</f>
        <v>0.45946890141499175</v>
      </c>
      <c r="F23" s="5"/>
      <c r="G23" s="5"/>
      <c r="H23" s="5"/>
    </row>
    <row r="24" spans="1:8" x14ac:dyDescent="0.3">
      <c r="A24" s="9">
        <f>ROW()-ROW($A$14)</f>
        <v>10</v>
      </c>
      <c r="B24" s="9">
        <f>IF(A24&lt;=$B$8,$B$6+(A24-1)*($B$7-$B$6)/MAX(1,$B$8-1),NA())</f>
        <v>9</v>
      </c>
      <c r="C24" s="9">
        <f>RADIANS(B24)</f>
        <v>0.15707963267948966</v>
      </c>
      <c r="D24" s="9">
        <f>($B$3+$B$4)*COS(C24)-$B$4*COS((($B$3+$B$4)/$B$4)*C24)</f>
        <v>26.691723956391765</v>
      </c>
      <c r="E24" s="9">
        <f>($B$3+$B$4)*SIN(C24)-$B$4*SIN((($B$3+$B$4)/$B$4)*C24)</f>
        <v>0.64794897933218909</v>
      </c>
      <c r="F24" s="5"/>
      <c r="G24" s="5"/>
      <c r="H24" s="5"/>
    </row>
    <row r="25" spans="1:8" x14ac:dyDescent="0.3">
      <c r="A25" s="9">
        <f>ROW()-ROW($A$14)</f>
        <v>11</v>
      </c>
      <c r="B25" s="9">
        <f>IF(A25&lt;=$B$8,$B$6+(A25-1)*($B$7-$B$6)/MAX(1,$B$8-1),NA())</f>
        <v>10</v>
      </c>
      <c r="C25" s="9">
        <f>RADIANS(B25)</f>
        <v>0.17453292519943295</v>
      </c>
      <c r="D25" s="9">
        <f>($B$3+$B$4)*COS(C25)-$B$4*COS((($B$3+$B$4)/$B$4)*C25)</f>
        <v>27.044232590366242</v>
      </c>
      <c r="E25" s="9">
        <f>($B$3+$B$4)*SIN(C25)-$B$4*SIN((($B$3+$B$4)/$B$4)*C25)</f>
        <v>0.87931831108571679</v>
      </c>
      <c r="F25" s="5"/>
      <c r="G25" s="5"/>
      <c r="H25" s="5"/>
    </row>
    <row r="26" spans="1:8" x14ac:dyDescent="0.3">
      <c r="A26" s="9">
        <f>ROW()-ROW($A$14)</f>
        <v>12</v>
      </c>
      <c r="B26" s="9">
        <f>IF(A26&lt;=$B$8,$B$6+(A26-1)*($B$7-$B$6)/MAX(1,$B$8-1),NA())</f>
        <v>11</v>
      </c>
      <c r="C26" s="9">
        <f>RADIANS(B26)</f>
        <v>0.19198621771937624</v>
      </c>
      <c r="D26" s="9">
        <f>($B$3+$B$4)*COS(C26)-$B$4*COS((($B$3+$B$4)/$B$4)*C26)</f>
        <v>27.41513228805092</v>
      </c>
      <c r="E26" s="9">
        <f>($B$3+$B$4)*SIN(C26)-$B$4*SIN((($B$3+$B$4)/$B$4)*C26)</f>
        <v>1.1565425730833399</v>
      </c>
      <c r="F26" s="5"/>
      <c r="G26" s="5"/>
      <c r="H26" s="5"/>
    </row>
    <row r="27" spans="1:8" x14ac:dyDescent="0.3">
      <c r="A27" s="9">
        <f>ROW()-ROW($A$14)</f>
        <v>13</v>
      </c>
      <c r="B27" s="9">
        <f>IF(A27&lt;=$B$8,$B$6+(A27-1)*($B$7-$B$6)/MAX(1,$B$8-1),NA())</f>
        <v>12</v>
      </c>
      <c r="C27" s="9">
        <f>RADIANS(B27)</f>
        <v>0.20943951023931956</v>
      </c>
      <c r="D27" s="9">
        <f>($B$3+$B$4)*COS(C27)-$B$4*COS((($B$3+$B$4)/$B$4)*C27)</f>
        <v>27.799343050139434</v>
      </c>
      <c r="E27" s="9">
        <f>($B$3+$B$4)*SIN(C27)-$B$4*SIN((($B$3+$B$4)/$B$4)*C27)</f>
        <v>1.4820681430570133</v>
      </c>
      <c r="F27" s="5"/>
      <c r="G27" s="5"/>
      <c r="H27" s="5"/>
    </row>
    <row r="28" spans="1:8" x14ac:dyDescent="0.3">
      <c r="A28" s="9">
        <f>ROW()-ROW($A$14)</f>
        <v>14</v>
      </c>
      <c r="B28" s="9">
        <f>IF(A28&lt;=$B$8,$B$6+(A28-1)*($B$7-$B$6)/MAX(1,$B$8-1),NA())</f>
        <v>13</v>
      </c>
      <c r="C28" s="9">
        <f>RADIANS(B28)</f>
        <v>0.22689280275926285</v>
      </c>
      <c r="D28" s="9">
        <f>($B$3+$B$4)*COS(C28)-$B$4*COS((($B$3+$B$4)/$B$4)*C28)</f>
        <v>28.191543489468263</v>
      </c>
      <c r="E28" s="9">
        <f>($B$3+$B$4)*SIN(C28)-$B$4*SIN((($B$3+$B$4)/$B$4)*C28)</f>
        <v>1.8577936266469219</v>
      </c>
      <c r="F28" s="5"/>
      <c r="G28" s="5"/>
      <c r="H28" s="5"/>
    </row>
    <row r="29" spans="1:8" x14ac:dyDescent="0.3">
      <c r="A29" s="9">
        <f>ROW()-ROW($A$14)</f>
        <v>15</v>
      </c>
      <c r="B29" s="9">
        <f>IF(A29&lt;=$B$8,$B$6+(A29-1)*($B$7-$B$6)/MAX(1,$B$8-1),NA())</f>
        <v>14</v>
      </c>
      <c r="C29" s="9">
        <f>RADIANS(B29)</f>
        <v>0.24434609527920614</v>
      </c>
      <c r="D29" s="9">
        <f>($B$3+$B$4)*COS(C29)-$B$4*COS((($B$3+$B$4)/$B$4)*C29)</f>
        <v>28.586229471941628</v>
      </c>
      <c r="E29" s="9">
        <f>($B$3+$B$4)*SIN(C29)-$B$4*SIN((($B$3+$B$4)/$B$4)*C29)</f>
        <v>2.2850473911486651</v>
      </c>
      <c r="F29" s="5"/>
      <c r="G29" s="5"/>
      <c r="H29" s="5"/>
    </row>
    <row r="30" spans="1:8" x14ac:dyDescent="0.3">
      <c r="A30" s="9">
        <f>ROW()-ROW($A$14)</f>
        <v>16</v>
      </c>
      <c r="B30" s="9">
        <f>IF(A30&lt;=$B$8,$B$6+(A30-1)*($B$7-$B$6)/MAX(1,$B$8-1),NA())</f>
        <v>15</v>
      </c>
      <c r="C30" s="9">
        <f>RADIANS(B30)</f>
        <v>0.26179938779914941</v>
      </c>
      <c r="D30" s="9">
        <f>($B$3+$B$4)*COS(C30)-$B$4*COS((($B$3+$B$4)/$B$4)*C30)</f>
        <v>28.97777478867205</v>
      </c>
      <c r="E30" s="9">
        <f>($B$3+$B$4)*SIN(C30)-$B$4*SIN((($B$3+$B$4)/$B$4)*C30)</f>
        <v>2.7645713530756222</v>
      </c>
      <c r="F30" s="5"/>
      <c r="G30" s="5"/>
      <c r="H30" s="5"/>
    </row>
    <row r="31" spans="1:8" x14ac:dyDescent="0.3">
      <c r="A31" s="9">
        <f>ROW()-ROW($A$14)</f>
        <v>17</v>
      </c>
      <c r="B31" s="9">
        <f>IF(A31&lt;=$B$8,$B$6+(A31-1)*($B$7-$B$6)/MAX(1,$B$8-1),NA())</f>
        <v>16</v>
      </c>
      <c r="C31" s="9">
        <f>RADIANS(B31)</f>
        <v>0.27925268031909273</v>
      </c>
      <c r="D31" s="9">
        <f>($B$3+$B$4)*COS(C31)-$B$4*COS((($B$3+$B$4)/$B$4)*C31)</f>
        <v>29.360493194487834</v>
      </c>
      <c r="E31" s="9">
        <f>($B$3+$B$4)*SIN(C31)-$B$4*SIN((($B$3+$B$4)/$B$4)*C31)</f>
        <v>3.2965111976686075</v>
      </c>
      <c r="F31" s="5"/>
      <c r="G31" s="5"/>
      <c r="H31" s="5"/>
    </row>
    <row r="32" spans="1:8" x14ac:dyDescent="0.3">
      <c r="A32" s="9">
        <f>ROW()-ROW($A$14)</f>
        <v>18</v>
      </c>
      <c r="B32" s="9">
        <f>IF(A32&lt;=$B$8,$B$6+(A32-1)*($B$7-$B$6)/MAX(1,$B$8-1),NA())</f>
        <v>17</v>
      </c>
      <c r="C32" s="9">
        <f>RADIANS(B32)</f>
        <v>0.29670597283903605</v>
      </c>
      <c r="D32" s="9">
        <f>($B$3+$B$4)*COS(C32)-$B$4*COS((($B$3+$B$4)/$B$4)*C32)</f>
        <v>29.728701132979861</v>
      </c>
      <c r="E32" s="9">
        <f>($B$3+$B$4)*SIN(C32)-$B$4*SIN((($B$3+$B$4)/$B$4)*C32)</f>
        <v>3.8804131380130764</v>
      </c>
      <c r="F32" s="5"/>
      <c r="G32" s="5"/>
      <c r="H32" s="5"/>
    </row>
    <row r="33" spans="1:8" x14ac:dyDescent="0.3">
      <c r="A33" s="9">
        <f>ROW()-ROW($A$14)</f>
        <v>19</v>
      </c>
      <c r="B33" s="9">
        <f>IF(A33&lt;=$B$8,$B$6+(A33-1)*($B$7-$B$6)/MAX(1,$B$8-1),NA())</f>
        <v>18</v>
      </c>
      <c r="C33" s="9">
        <f>RADIANS(B33)</f>
        <v>0.31415926535897931</v>
      </c>
      <c r="D33" s="9">
        <f>($B$3+$B$4)*COS(C33)-$B$4*COS((($B$3+$B$4)/$B$4)*C33)</f>
        <v>30.076780460729342</v>
      </c>
      <c r="E33" s="9">
        <f>($B$3+$B$4)*SIN(C33)-$B$4*SIN((($B$3+$B$4)/$B$4)*C33)</f>
        <v>4.5152272497726536</v>
      </c>
      <c r="F33" s="5"/>
      <c r="G33" s="5"/>
      <c r="H33" s="5"/>
    </row>
    <row r="34" spans="1:8" x14ac:dyDescent="0.3">
      <c r="A34" s="9">
        <f>ROW()-ROW($A$14)</f>
        <v>20</v>
      </c>
      <c r="B34" s="9">
        <f>IF(A34&lt;=$B$8,$B$6+(A34-1)*($B$7-$B$6)/MAX(1,$B$8-1),NA())</f>
        <v>19</v>
      </c>
      <c r="C34" s="9">
        <f>RADIANS(B34)</f>
        <v>0.33161255787892263</v>
      </c>
      <c r="D34" s="9">
        <f>($B$3+$B$4)*COS(C34)-$B$4*COS((($B$3+$B$4)/$B$4)*C34)</f>
        <v>30.399240483358504</v>
      </c>
      <c r="E34" s="9">
        <f>($B$3+$B$4)*SIN(C34)-$B$4*SIN((($B$3+$B$4)/$B$4)*C34)</f>
        <v>5.1993173455016963</v>
      </c>
      <c r="F34" s="5"/>
      <c r="G34" s="5"/>
      <c r="H34" s="5"/>
    </row>
    <row r="35" spans="1:8" x14ac:dyDescent="0.3">
      <c r="A35" s="9">
        <f>ROW()-ROW($A$14)</f>
        <v>21</v>
      </c>
      <c r="B35" s="9">
        <f>IF(A35&lt;=$B$8,$B$6+(A35-1)*($B$7-$B$6)/MAX(1,$B$8-1),NA())</f>
        <v>20</v>
      </c>
      <c r="C35" s="9">
        <f>RADIANS(B35)</f>
        <v>0.3490658503988659</v>
      </c>
      <c r="D35" s="9">
        <f>($B$3+$B$4)*COS(C35)-$B$4*COS((($B$3+$B$4)/$B$4)*C35)</f>
        <v>30.690778623577252</v>
      </c>
      <c r="E35" s="9">
        <f>($B$3+$B$4)*SIN(C35)-$B$4*SIN((($B$3+$B$4)/$B$4)*C35)</f>
        <v>5.9304772808478683</v>
      </c>
      <c r="F35" s="5"/>
      <c r="G35" s="5"/>
      <c r="H35" s="5"/>
    </row>
    <row r="36" spans="1:8" x14ac:dyDescent="0.3">
      <c r="A36" s="9">
        <f>ROW()-ROW($A$14)</f>
        <v>22</v>
      </c>
      <c r="B36" s="9">
        <f>IF(A36&lt;=$B$8,$B$6+(A36-1)*($B$7-$B$6)/MAX(1,$B$8-1),NA())</f>
        <v>21</v>
      </c>
      <c r="C36" s="9">
        <f>RADIANS(B36)</f>
        <v>0.36651914291880922</v>
      </c>
      <c r="D36" s="9">
        <f>($B$3+$B$4)*COS(C36)-$B$4*COS((($B$3+$B$4)/$B$4)*C36)</f>
        <v>30.94633905637842</v>
      </c>
      <c r="E36" s="9">
        <f>($B$3+$B$4)*SIN(C36)-$B$4*SIN((($B$3+$B$4)/$B$4)*C36)</f>
        <v>6.7059535144842704</v>
      </c>
      <c r="F36" s="5"/>
      <c r="G36" s="5"/>
      <c r="H36" s="5"/>
    </row>
    <row r="37" spans="1:8" x14ac:dyDescent="0.3">
      <c r="A37" s="9">
        <f>ROW()-ROW($A$14)</f>
        <v>23</v>
      </c>
      <c r="B37" s="9">
        <f>IF(A37&lt;=$B$8,$B$6+(A37-1)*($B$7-$B$6)/MAX(1,$B$8-1),NA())</f>
        <v>22</v>
      </c>
      <c r="C37" s="9">
        <f>RADIANS(B37)</f>
        <v>0.38397243543875248</v>
      </c>
      <c r="D37" s="9">
        <f>($B$3+$B$4)*COS(C37)-$B$4*COS((($B$3+$B$4)/$B$4)*C37)</f>
        <v>31.161168668797909</v>
      </c>
      <c r="E37" s="9">
        <f>($B$3+$B$4)*SIN(C37)-$B$4*SIN((($B$3+$B$4)/$B$4)*C37)</f>
        <v>7.5224736750903887</v>
      </c>
      <c r="F37" s="5"/>
      <c r="G37" s="5"/>
      <c r="H37" s="5"/>
    </row>
    <row r="38" spans="1:8" x14ac:dyDescent="0.3">
      <c r="A38" s="9">
        <f>ROW()-ROW($A$14)</f>
        <v>24</v>
      </c>
      <c r="B38" s="9">
        <f>IF(A38&lt;=$B$8,$B$6+(A38-1)*($B$7-$B$6)/MAX(1,$B$8-1),NA())</f>
        <v>23</v>
      </c>
      <c r="C38" s="9">
        <f>RADIANS(B38)</f>
        <v>0.4014257279586958</v>
      </c>
      <c r="D38" s="9">
        <f>($B$3+$B$4)*COS(C38)-$B$4*COS((($B$3+$B$4)/$B$4)*C38)</f>
        <v>31.330869730960181</v>
      </c>
      <c r="E38" s="9">
        <f>($B$3+$B$4)*SIN(C38)-$B$4*SIN((($B$3+$B$4)/$B$4)*C38)</f>
        <v>8.3762808228839223</v>
      </c>
      <c r="F38" s="5"/>
      <c r="G38" s="5"/>
      <c r="H38" s="5"/>
    </row>
    <row r="39" spans="1:8" x14ac:dyDescent="0.3">
      <c r="A39" s="9">
        <f>ROW()-ROW($A$14)</f>
        <v>25</v>
      </c>
      <c r="B39" s="9">
        <f>IF(A39&lt;=$B$8,$B$6+(A39-1)*($B$7-$B$6)/MAX(1,$B$8-1),NA())</f>
        <v>24</v>
      </c>
      <c r="C39" s="9">
        <f>RADIANS(B39)</f>
        <v>0.41887902047863912</v>
      </c>
      <c r="D39" s="9">
        <f>($B$3+$B$4)*COS(C39)-$B$4*COS((($B$3+$B$4)/$B$4)*C39)</f>
        <v>31.451448701152763</v>
      </c>
      <c r="E39" s="9">
        <f>($B$3+$B$4)*SIN(C39)-$B$4*SIN((($B$3+$B$4)/$B$4)*C39)</f>
        <v>9.2631730308116396</v>
      </c>
      <c r="F39" s="5"/>
      <c r="G39" s="5"/>
      <c r="H39" s="5"/>
    </row>
    <row r="40" spans="1:8" x14ac:dyDescent="0.3">
      <c r="A40" s="9">
        <f>ROW()-ROW($A$14)</f>
        <v>26</v>
      </c>
      <c r="B40" s="9">
        <f>IF(A40&lt;=$B$8,$B$6+(A40-1)*($B$7-$B$6)/MAX(1,$B$8-1),NA())</f>
        <v>25</v>
      </c>
      <c r="C40" s="9">
        <f>RADIANS(B40)</f>
        <v>0.43633231299858238</v>
      </c>
      <c r="D40" s="9">
        <f>($B$3+$B$4)*COS(C40)-$B$4*COS((($B$3+$B$4)/$B$4)*C40)</f>
        <v>31.519360630021694</v>
      </c>
      <c r="E40" s="9">
        <f>($B$3+$B$4)*SIN(C40)-$B$4*SIN((($B$3+$B$4)/$B$4)*C40)</f>
        <v>10.178547852220984</v>
      </c>
      <c r="F40" s="5"/>
      <c r="G40" s="5"/>
      <c r="H40" s="5"/>
    </row>
    <row r="41" spans="1:8" x14ac:dyDescent="0.3">
      <c r="A41" s="9">
        <f>ROW()-ROW($A$14)</f>
        <v>27</v>
      </c>
      <c r="B41" s="9">
        <f>IF(A41&lt;=$B$8,$B$6+(A41-1)*($B$7-$B$6)/MAX(1,$B$8-1),NA())</f>
        <v>26</v>
      </c>
      <c r="C41" s="9">
        <f>RADIANS(B41)</f>
        <v>0.4537856055185257</v>
      </c>
      <c r="D41" s="9">
        <f>($B$3+$B$4)*COS(C41)-$B$4*COS((($B$3+$B$4)/$B$4)*C41)</f>
        <v>31.531548677188013</v>
      </c>
      <c r="E41" s="9">
        <f>($B$3+$B$4)*SIN(C41)-$B$4*SIN((($B$3+$B$4)/$B$4)*C41)</f>
        <v>11.117451188293323</v>
      </c>
      <c r="F41" s="5"/>
      <c r="G41" s="5"/>
      <c r="H41" s="5"/>
    </row>
    <row r="42" spans="1:8" x14ac:dyDescent="0.3">
      <c r="A42" s="9">
        <f>ROW()-ROW($A$14)</f>
        <v>28</v>
      </c>
      <c r="B42" s="9">
        <f>IF(A42&lt;=$B$8,$B$6+(A42-1)*($B$7-$B$6)/MAX(1,$B$8-1),NA())</f>
        <v>27</v>
      </c>
      <c r="C42" s="9">
        <f>RADIANS(B42)</f>
        <v>0.47123889803846897</v>
      </c>
      <c r="D42" s="9">
        <f>($B$3+$B$4)*COS(C42)-$B$4*COS((($B$3+$B$4)/$B$4)*C42)</f>
        <v>31.485478307126805</v>
      </c>
      <c r="E42" s="9">
        <f>($B$3+$B$4)*SIN(C42)-$B$4*SIN((($B$3+$B$4)/$B$4)*C42)</f>
        <v>12.074630020311664</v>
      </c>
      <c r="F42" s="5"/>
      <c r="G42" s="5"/>
      <c r="H42" s="5"/>
    </row>
    <row r="43" spans="1:8" x14ac:dyDescent="0.3">
      <c r="A43" s="9">
        <f>ROW()-ROW($A$14)</f>
        <v>29</v>
      </c>
      <c r="B43" s="9">
        <f>IF(A43&lt;=$B$8,$B$6+(A43-1)*($B$7-$B$6)/MAX(1,$B$8-1),NA())</f>
        <v>28</v>
      </c>
      <c r="C43" s="9">
        <f>RADIANS(B43)</f>
        <v>0.48869219055841229</v>
      </c>
      <c r="D43" s="9">
        <f>($B$3+$B$4)*COS(C43)-$B$4*COS((($B$3+$B$4)/$B$4)*C43)</f>
        <v>31.37916578943684</v>
      </c>
      <c r="E43" s="9">
        <f>($B$3+$B$4)*SIN(C43)-$B$4*SIN((($B$3+$B$4)/$B$4)*C43)</f>
        <v>13.044588429487927</v>
      </c>
      <c r="F43" s="5"/>
      <c r="G43" s="5"/>
      <c r="H43" s="5"/>
    </row>
    <row r="44" spans="1:8" x14ac:dyDescent="0.3">
      <c r="A44" s="9">
        <f>ROW()-ROW($A$14)</f>
        <v>30</v>
      </c>
      <c r="B44" s="9">
        <f>IF(A44&lt;=$B$8,$B$6+(A44-1)*($B$7-$B$6)/MAX(1,$B$8-1),NA())</f>
        <v>29</v>
      </c>
      <c r="C44" s="9">
        <f>RADIANS(B44)</f>
        <v>0.50614548307835561</v>
      </c>
      <c r="D44" s="9">
        <f>($B$3+$B$4)*COS(C44)-$B$4*COS((($B$3+$B$4)/$B$4)*C44)</f>
        <v>31.21120069102324</v>
      </c>
      <c r="E44" s="9">
        <f>($B$3+$B$4)*SIN(C44)-$B$4*SIN((($B$3+$B$4)/$B$4)*C44)</f>
        <v>14.021646291051844</v>
      </c>
      <c r="F44" s="5"/>
      <c r="G44" s="5"/>
      <c r="H44" s="5"/>
    </row>
    <row r="45" spans="1:8" x14ac:dyDescent="0.3">
      <c r="A45" s="9">
        <f>ROW()-ROW($A$14)</f>
        <v>31</v>
      </c>
      <c r="B45" s="9">
        <f>IF(A45&lt;=$B$8,$B$6+(A45-1)*($B$7-$B$6)/MAX(1,$B$8-1),NA())</f>
        <v>30</v>
      </c>
      <c r="C45" s="9">
        <f>RADIANS(B45)</f>
        <v>0.52359877559829882</v>
      </c>
      <c r="D45" s="9">
        <f>($B$3+$B$4)*COS(C45)-$B$4*COS((($B$3+$B$4)/$B$4)*C45)</f>
        <v>30.98076211353316</v>
      </c>
      <c r="E45" s="9">
        <f>($B$3+$B$4)*SIN(C45)-$B$4*SIN((($B$3+$B$4)/$B$4)*C45)</f>
        <v>14.999999999999998</v>
      </c>
      <c r="F45" s="5"/>
      <c r="G45" s="5"/>
      <c r="H45" s="5"/>
    </row>
    <row r="46" spans="1:8" x14ac:dyDescent="0.3">
      <c r="A46" s="9">
        <f>ROW()-ROW($A$14)</f>
        <v>32</v>
      </c>
      <c r="B46" s="9">
        <f>IF(A46&lt;=$B$8,$B$6+(A46-1)*($B$7-$B$6)/MAX(1,$B$8-1),NA())</f>
        <v>31</v>
      </c>
      <c r="C46" s="9">
        <f>RADIANS(B46)</f>
        <v>0.54105206811824214</v>
      </c>
      <c r="D46" s="9">
        <f>($B$3+$B$4)*COS(C46)-$B$4*COS((($B$3+$B$4)/$B$4)*C46)</f>
        <v>30.687628497904736</v>
      </c>
      <c r="E46" s="9">
        <f>($B$3+$B$4)*SIN(C46)-$B$4*SIN((($B$3+$B$4)/$B$4)*C46)</f>
        <v>15.973784563639891</v>
      </c>
      <c r="F46" s="5"/>
      <c r="G46" s="5"/>
      <c r="H46" s="5"/>
    </row>
    <row r="47" spans="1:8" x14ac:dyDescent="0.3">
      <c r="A47" s="9">
        <f>ROW()-ROW($A$14)</f>
        <v>33</v>
      </c>
      <c r="B47" s="9">
        <f>IF(A47&lt;=$B$8,$B$6+(A47-1)*($B$7-$B$6)/MAX(1,$B$8-1),NA())</f>
        <v>32</v>
      </c>
      <c r="C47" s="9">
        <f>RADIANS(B47)</f>
        <v>0.55850536063818546</v>
      </c>
      <c r="D47" s="9">
        <f>($B$3+$B$4)*COS(C47)-$B$4*COS((($B$3+$B$4)/$B$4)*C47)</f>
        <v>30.332180888361808</v>
      </c>
      <c r="E47" s="9">
        <f>($B$3+$B$4)*SIN(C47)-$B$4*SIN((($B$3+$B$4)/$B$4)*C47)</f>
        <v>16.937136381084944</v>
      </c>
      <c r="F47" s="5"/>
      <c r="G47" s="5"/>
      <c r="H47" s="5"/>
    </row>
    <row r="48" spans="1:8" x14ac:dyDescent="0.3">
      <c r="A48" s="9">
        <f>ROW()-ROW($A$14)</f>
        <v>34</v>
      </c>
      <c r="B48" s="9">
        <f>IF(A48&lt;=$B$8,$B$6+(A48-1)*($B$7-$B$6)/MAX(1,$B$8-1),NA())</f>
        <v>33</v>
      </c>
      <c r="C48" s="9">
        <f>RADIANS(B48)</f>
        <v>0.57595865315812877</v>
      </c>
      <c r="D48" s="9">
        <f>($B$3+$B$4)*COS(C48)-$B$4*COS((($B$3+$B$4)/$B$4)*C48)</f>
        <v>29.915399619838489</v>
      </c>
      <c r="E48" s="9">
        <f>($B$3+$B$4)*SIN(C48)-$B$4*SIN((($B$3+$B$4)/$B$4)*C48)</f>
        <v>17.884256022325548</v>
      </c>
      <c r="F48" s="5"/>
      <c r="G48" s="5"/>
      <c r="H48" s="5"/>
    </row>
    <row r="49" spans="1:8" x14ac:dyDescent="0.3">
      <c r="A49" s="9">
        <f>ROW()-ROW($A$14)</f>
        <v>35</v>
      </c>
      <c r="B49" s="9">
        <f>IF(A49&lt;=$B$8,$B$6+(A49-1)*($B$7-$B$6)/MAX(1,$B$8-1),NA())</f>
        <v>34</v>
      </c>
      <c r="C49" s="9">
        <f>RADIANS(B49)</f>
        <v>0.59341194567807209</v>
      </c>
      <c r="D49" s="9">
        <f>($B$3+$B$4)*COS(C49)-$B$4*COS((($B$3+$B$4)/$B$4)*C49)</f>
        <v>29.438854464864253</v>
      </c>
      <c r="E49" s="9">
        <f>($B$3+$B$4)*SIN(C49)-$B$4*SIN((($B$3+$B$4)/$B$4)*C49)</f>
        <v>18.809470319501411</v>
      </c>
      <c r="F49" s="5"/>
      <c r="G49" s="5"/>
      <c r="H49" s="5"/>
    </row>
    <row r="50" spans="1:8" x14ac:dyDescent="0.3">
      <c r="A50" s="9">
        <f>ROW()-ROW($A$14)</f>
        <v>36</v>
      </c>
      <c r="B50" s="9">
        <f>IF(A50&lt;=$B$8,$B$6+(A50-1)*($B$7-$B$6)/MAX(1,$B$8-1),NA())</f>
        <v>35</v>
      </c>
      <c r="C50" s="9">
        <f>RADIANS(B50)</f>
        <v>0.6108652381980153</v>
      </c>
      <c r="D50" s="9">
        <f>($B$3+$B$4)*COS(C50)-$B$4*COS((($B$3+$B$4)/$B$4)*C50)</f>
        <v>28.90468834759195</v>
      </c>
      <c r="E50" s="9">
        <f>($B$3+$B$4)*SIN(C50)-$B$4*SIN((($B$3+$B$4)/$B$4)*C50)</f>
        <v>19.70729309053138</v>
      </c>
      <c r="F50" s="5"/>
      <c r="G50" s="5"/>
      <c r="H50" s="5"/>
    </row>
    <row r="51" spans="1:8" x14ac:dyDescent="0.3">
      <c r="A51" s="9">
        <f>ROW()-ROW($A$14)</f>
        <v>37</v>
      </c>
      <c r="B51" s="9">
        <f>IF(A51&lt;=$B$8,$B$6+(A51-1)*($B$7-$B$6)/MAX(1,$B$8-1),NA())</f>
        <v>36</v>
      </c>
      <c r="C51" s="9">
        <f>RADIANS(B51)</f>
        <v>0.62831853071795862</v>
      </c>
      <c r="D51" s="9">
        <f>($B$3+$B$4)*COS(C51)-$B$4*COS((($B$3+$B$4)/$B$4)*C51)</f>
        <v>28.315594803123162</v>
      </c>
      <c r="E51" s="9">
        <f>($B$3+$B$4)*SIN(C51)-$B$4*SIN((($B$3+$B$4)/$B$4)*C51)</f>
        <v>20.572483830236557</v>
      </c>
      <c r="F51" s="5"/>
      <c r="G51" s="5"/>
      <c r="H51" s="5"/>
    </row>
    <row r="52" spans="1:8" x14ac:dyDescent="0.3">
      <c r="A52" s="9">
        <f>ROW()-ROW($A$14)</f>
        <v>38</v>
      </c>
      <c r="B52" s="9">
        <f>IF(A52&lt;=$B$8,$B$6+(A52-1)*($B$7-$B$6)/MAX(1,$B$8-1),NA())</f>
        <v>37</v>
      </c>
      <c r="C52" s="9">
        <f>RADIANS(B52)</f>
        <v>0.64577182323790194</v>
      </c>
      <c r="D52" s="9">
        <f>($B$3+$B$4)*COS(C52)-$B$4*COS((($B$3+$B$4)/$B$4)*C52)</f>
        <v>27.674789428805756</v>
      </c>
      <c r="E52" s="9">
        <f>($B$3+$B$4)*SIN(C52)-$B$4*SIN((($B$3+$B$4)/$B$4)*C52)</f>
        <v>21.400103726355741</v>
      </c>
      <c r="F52" s="5"/>
      <c r="G52" s="5"/>
      <c r="H52" s="5"/>
    </row>
    <row r="53" spans="1:8" x14ac:dyDescent="0.3">
      <c r="A53" s="9">
        <f>ROW()-ROW($A$14)</f>
        <v>39</v>
      </c>
      <c r="B53" s="9">
        <f>IF(A53&lt;=$B$8,$B$6+(A53-1)*($B$7-$B$6)/MAX(1,$B$8-1),NA())</f>
        <v>38</v>
      </c>
      <c r="C53" s="9">
        <f>RADIANS(B53)</f>
        <v>0.66322511575784526</v>
      </c>
      <c r="D53" s="9">
        <f>($B$3+$B$4)*COS(C53)-$B$4*COS((($B$3+$B$4)/$B$4)*C53)</f>
        <v>26.985975639995949</v>
      </c>
      <c r="E53" s="9">
        <f>($B$3+$B$4)*SIN(C53)-$B$4*SIN((($B$3+$B$4)/$B$4)*C53)</f>
        <v>22.185568387156721</v>
      </c>
      <c r="F53" s="5"/>
      <c r="G53" s="5"/>
      <c r="H53" s="5"/>
    </row>
    <row r="54" spans="1:8" x14ac:dyDescent="0.3">
      <c r="A54" s="9">
        <f>ROW()-ROW($A$14)</f>
        <v>40</v>
      </c>
      <c r="B54" s="9">
        <f>IF(A54&lt;=$B$8,$B$6+(A54-1)*($B$7-$B$6)/MAX(1,$B$8-1),NA())</f>
        <v>39</v>
      </c>
      <c r="C54" s="9">
        <f>RADIANS(B54)</f>
        <v>0.68067840827778847</v>
      </c>
      <c r="D54" s="9">
        <f>($B$3+$B$4)*COS(C54)-$B$4*COS((($B$3+$B$4)/$B$4)*C54)</f>
        <v>26.253305105171496</v>
      </c>
      <c r="E54" s="9">
        <f>($B$3+$B$4)*SIN(C54)-$B$4*SIN((($B$3+$B$4)/$B$4)*C54)</f>
        <v>22.924696703369857</v>
      </c>
      <c r="F54" s="5"/>
      <c r="G54" s="5"/>
      <c r="H54" s="5"/>
    </row>
    <row r="55" spans="1:8" x14ac:dyDescent="0.3">
      <c r="A55" s="9">
        <f>ROW()-ROW($A$14)</f>
        <v>41</v>
      </c>
      <c r="B55" s="9">
        <f>IF(A55&lt;=$B$8,$B$6+(A55-1)*($B$7-$B$6)/MAX(1,$B$8-1),NA())</f>
        <v>40</v>
      </c>
      <c r="C55" s="9">
        <f>RADIANS(B55)</f>
        <v>0.69813170079773179</v>
      </c>
      <c r="D55" s="9">
        <f>($B$3+$B$4)*COS(C55)-$B$4*COS((($B$3+$B$4)/$B$4)*C55)</f>
        <v>25.481333293569342</v>
      </c>
      <c r="E55" s="9">
        <f>($B$3+$B$4)*SIN(C55)-$B$4*SIN((($B$3+$B$4)/$B$4)*C55)</f>
        <v>23.613755309518368</v>
      </c>
      <c r="F55" s="5"/>
      <c r="G55" s="5"/>
      <c r="H55" s="5"/>
    </row>
    <row r="56" spans="1:8" x14ac:dyDescent="0.3">
      <c r="A56" s="9">
        <f>ROW()-ROW($A$14)</f>
        <v>42</v>
      </c>
      <c r="B56" s="9">
        <f>IF(A56&lt;=$B$8,$B$6+(A56-1)*($B$7-$B$6)/MAX(1,$B$8-1),NA())</f>
        <v>41</v>
      </c>
      <c r="C56" s="9">
        <f>RADIANS(B56)</f>
        <v>0.71558499331767511</v>
      </c>
      <c r="D56" s="9">
        <f>($B$3+$B$4)*COS(C56)-$B$4*COS((($B$3+$B$4)/$B$4)*C56)</f>
        <v>24.674970622062162</v>
      </c>
      <c r="E56" s="9">
        <f>($B$3+$B$4)*SIN(C56)-$B$4*SIN((($B$3+$B$4)/$B$4)*C56)</f>
        <v>24.249498157928222</v>
      </c>
      <c r="F56" s="5"/>
      <c r="G56" s="5"/>
      <c r="H56" s="5"/>
    </row>
    <row r="57" spans="1:8" x14ac:dyDescent="0.3">
      <c r="A57" s="9">
        <f>ROW()-ROW($A$14)</f>
        <v>43</v>
      </c>
      <c r="B57" s="9">
        <f>IF(A57&lt;=$B$8,$B$6+(A57-1)*($B$7-$B$6)/MAX(1,$B$8-1),NA())</f>
        <v>42</v>
      </c>
      <c r="C57" s="9">
        <f>RADIANS(B57)</f>
        <v>0.73303828583761843</v>
      </c>
      <c r="D57" s="9">
        <f>($B$3+$B$4)*COS(C57)-$B$4*COS((($B$3+$B$4)/$B$4)*C57)</f>
        <v>23.839429736196564</v>
      </c>
      <c r="E57" s="9">
        <f>($B$3+$B$4)*SIN(C57)-$B$4*SIN((($B$3+$B$4)/$B$4)*C57)</f>
        <v>24.829200772241514</v>
      </c>
      <c r="F57" s="5"/>
      <c r="G57" s="5"/>
      <c r="H57" s="5"/>
    </row>
    <row r="58" spans="1:8" x14ac:dyDescent="0.3">
      <c r="A58" s="9">
        <f>ROW()-ROW($A$14)</f>
        <v>44</v>
      </c>
      <c r="B58" s="9">
        <f>IF(A58&lt;=$B$8,$B$6+(A58-1)*($B$7-$B$6)/MAX(1,$B$8-1),NA())</f>
        <v>43</v>
      </c>
      <c r="C58" s="9">
        <f>RADIANS(B58)</f>
        <v>0.75049157835756175</v>
      </c>
      <c r="D58" s="9">
        <f>($B$3+$B$4)*COS(C58)-$B$4*COS((($B$3+$B$4)/$B$4)*C58)</f>
        <v>22.980169502663909</v>
      </c>
      <c r="E58" s="9">
        <f>($B$3+$B$4)*SIN(C58)-$B$4*SIN((($B$3+$B$4)/$B$4)*C58)</f>
        <v>25.350688805543982</v>
      </c>
      <c r="F58" s="5"/>
      <c r="G58" s="5"/>
      <c r="H58" s="5"/>
    </row>
    <row r="59" spans="1:8" x14ac:dyDescent="0.3">
      <c r="A59" s="9">
        <f>ROW()-ROW($A$14)</f>
        <v>45</v>
      </c>
      <c r="B59" s="9">
        <f>IF(A59&lt;=$B$8,$B$6+(A59-1)*($B$7-$B$6)/MAX(1,$B$8-1),NA())</f>
        <v>44</v>
      </c>
      <c r="C59" s="9">
        <f>RADIANS(B59)</f>
        <v>0.76794487087750496</v>
      </c>
      <c r="D59" s="9">
        <f>($B$3+$B$4)*COS(C59)-$B$4*COS((($B$3+$B$4)/$B$4)*C59)</f>
        <v>22.102836326497805</v>
      </c>
      <c r="E59" s="9">
        <f>($B$3+$B$4)*SIN(C59)-$B$4*SIN((($B$3+$B$4)/$B$4)*C59)</f>
        <v>25.812360590611284</v>
      </c>
      <c r="F59" s="5"/>
      <c r="G59" s="5"/>
      <c r="H59" s="5"/>
    </row>
    <row r="60" spans="1:8" x14ac:dyDescent="0.3">
      <c r="A60" s="9">
        <f>ROW()-ROW($A$14)</f>
        <v>46</v>
      </c>
      <c r="B60" s="9">
        <f>IF(A60&lt;=$B$8,$B$6+(A60-1)*($B$7-$B$6)/MAX(1,$B$8-1),NA())</f>
        <v>45</v>
      </c>
      <c r="C60" s="9">
        <f>RADIANS(B60)</f>
        <v>0.78539816339744828</v>
      </c>
      <c r="D60" s="9">
        <f>($B$3+$B$4)*COS(C60)-$B$4*COS((($B$3+$B$4)/$B$4)*C60)</f>
        <v>21.213203435596427</v>
      </c>
      <c r="E60" s="9">
        <f>($B$3+$B$4)*SIN(C60)-$B$4*SIN((($B$3+$B$4)/$B$4)*C60)</f>
        <v>26.213203435596423</v>
      </c>
      <c r="F60" s="5"/>
      <c r="G60" s="5"/>
      <c r="H60" s="5"/>
    </row>
    <row r="61" spans="1:8" x14ac:dyDescent="0.3">
      <c r="A61" s="9">
        <f>ROW()-ROW($A$14)</f>
        <v>47</v>
      </c>
      <c r="B61" s="9">
        <f>IF(A61&lt;=$B$8,$B$6+(A61-1)*($B$7-$B$6)/MAX(1,$B$8-1),NA())</f>
        <v>46</v>
      </c>
      <c r="C61" s="9">
        <f>RADIANS(B61)</f>
        <v>0.8028514559173916</v>
      </c>
      <c r="D61" s="9">
        <f>($B$3+$B$4)*COS(C61)-$B$4*COS((($B$3+$B$4)/$B$4)*C61)</f>
        <v>20.317108797431647</v>
      </c>
      <c r="E61" s="9">
        <f>($B$3+$B$4)*SIN(C61)-$B$4*SIN((($B$3+$B$4)/$B$4)*C61)</f>
        <v>26.552803487000897</v>
      </c>
      <c r="F61" s="5"/>
      <c r="G61" s="5"/>
      <c r="H61" s="5"/>
    </row>
    <row r="62" spans="1:8" x14ac:dyDescent="0.3">
      <c r="A62" s="9">
        <f>ROW()-ROW($A$14)</f>
        <v>48</v>
      </c>
      <c r="B62" s="9">
        <f>IF(A62&lt;=$B$8,$B$6+(A62-1)*($B$7-$B$6)/MAX(1,$B$8-1),NA())</f>
        <v>47</v>
      </c>
      <c r="C62" s="9">
        <f>RADIANS(B62)</f>
        <v>0.82030474843733492</v>
      </c>
      <c r="D62" s="9">
        <f>($B$3+$B$4)*COS(C62)-$B$4*COS((($B$3+$B$4)/$B$4)*C62)</f>
        <v>19.420392347786155</v>
      </c>
      <c r="E62" s="9">
        <f>($B$3+$B$4)*SIN(C62)-$B$4*SIN((($B$3+$B$4)/$B$4)*C62)</f>
        <v>26.831349052244143</v>
      </c>
      <c r="F62" s="5"/>
      <c r="G62" s="5"/>
      <c r="H62" s="5"/>
    </row>
    <row r="63" spans="1:8" x14ac:dyDescent="0.3">
      <c r="A63" s="9">
        <f>ROW()-ROW($A$14)</f>
        <v>49</v>
      </c>
      <c r="B63" s="9">
        <f>IF(A63&lt;=$B$8,$B$6+(A63-1)*($B$7-$B$6)/MAX(1,$B$8-1),NA())</f>
        <v>48</v>
      </c>
      <c r="C63" s="9">
        <f>RADIANS(B63)</f>
        <v>0.83775804095727824</v>
      </c>
      <c r="D63" s="9">
        <f>($B$3+$B$4)*COS(C63)-$B$4*COS((($B$3+$B$4)/$B$4)*C63)</f>
        <v>18.528833218891009</v>
      </c>
      <c r="E63" s="9">
        <f>($B$3+$B$4)*SIN(C63)-$B$4*SIN((($B$3+$B$4)/$B$4)*C63)</f>
        <v>27.049627345797596</v>
      </c>
      <c r="F63" s="5"/>
      <c r="G63" s="5"/>
      <c r="H63" s="5"/>
    </row>
    <row r="64" spans="1:8" x14ac:dyDescent="0.3">
      <c r="A64" s="9">
        <f>ROW()-ROW($A$14)</f>
        <v>50</v>
      </c>
      <c r="B64" s="9">
        <f>IF(A64&lt;=$B$8,$B$6+(A64-1)*($B$7-$B$6)/MAX(1,$B$8-1),NA())</f>
        <v>49</v>
      </c>
      <c r="C64" s="9">
        <f>RADIANS(B64)</f>
        <v>0.85521133347722145</v>
      </c>
      <c r="D64" s="9">
        <f>($B$3+$B$4)*COS(C64)-$B$4*COS((($B$3+$B$4)/$B$4)*C64)</f>
        <v>17.648087654336219</v>
      </c>
      <c r="E64" s="9">
        <f>($B$3+$B$4)*SIN(C64)-$B$4*SIN((($B$3+$B$4)/$B$4)*C64)</f>
        <v>27.209014694896169</v>
      </c>
      <c r="F64" s="5"/>
      <c r="G64" s="5"/>
      <c r="H64" s="5"/>
    </row>
    <row r="65" spans="1:8" x14ac:dyDescent="0.3">
      <c r="A65" s="9">
        <f>ROW()-ROW($A$14)</f>
        <v>51</v>
      </c>
      <c r="B65" s="9">
        <f>IF(A65&lt;=$B$8,$B$6+(A65-1)*($B$7-$B$6)/MAX(1,$B$8-1),NA())</f>
        <v>50</v>
      </c>
      <c r="C65" s="9">
        <f>RADIANS(B65)</f>
        <v>0.87266462599716477</v>
      </c>
      <c r="D65" s="9">
        <f>($B$3+$B$4)*COS(C65)-$B$4*COS((($B$3+$B$4)/$B$4)*C65)</f>
        <v>16.78362829059618</v>
      </c>
      <c r="E65" s="9">
        <f>($B$3+$B$4)*SIN(C65)-$B$4*SIN((($B$3+$B$4)/$B$4)*C65)</f>
        <v>27.311460312491533</v>
      </c>
      <c r="F65" s="5"/>
      <c r="G65" s="5"/>
      <c r="H65" s="5"/>
    </row>
    <row r="66" spans="1:8" x14ac:dyDescent="0.3">
      <c r="A66" s="9">
        <f>ROW()-ROW($A$14)</f>
        <v>52</v>
      </c>
      <c r="B66" s="9">
        <f>IF(A66&lt;=$B$8,$B$6+(A66-1)*($B$7-$B$6)/MAX(1,$B$8-1),NA())</f>
        <v>51</v>
      </c>
      <c r="C66" s="9">
        <f>RADIANS(B66)</f>
        <v>0.89011791851710809</v>
      </c>
      <c r="D66" s="9">
        <f>($B$3+$B$4)*COS(C66)-$B$4*COS((($B$3+$B$4)/$B$4)*C66)</f>
        <v>15.94068547003276</v>
      </c>
      <c r="E66" s="9">
        <f>($B$3+$B$4)*SIN(C66)-$B$4*SIN((($B$3+$B$4)/$B$4)*C66)</f>
        <v>27.359463815583865</v>
      </c>
      <c r="F66" s="5"/>
      <c r="G66" s="5"/>
      <c r="H66" s="5"/>
    </row>
    <row r="67" spans="1:8" x14ac:dyDescent="0.3">
      <c r="A67" s="9">
        <f>ROW()-ROW($A$14)</f>
        <v>53</v>
      </c>
      <c r="B67" s="9">
        <f>IF(A67&lt;=$B$8,$B$6+(A67-1)*($B$7-$B$6)/MAX(1,$B$8-1),NA())</f>
        <v>52</v>
      </c>
      <c r="C67" s="9">
        <f>RADIANS(B67)</f>
        <v>0.90757121103705141</v>
      </c>
      <c r="D67" s="9">
        <f>($B$3+$B$4)*COS(C67)-$B$4*COS((($B$3+$B$4)/$B$4)*C67)</f>
        <v>15.124191227975455</v>
      </c>
      <c r="E67" s="9">
        <f>($B$3+$B$4)*SIN(C67)-$B$4*SIN((($B$3+$B$4)/$B$4)*C67)</f>
        <v>27.356046735588631</v>
      </c>
      <c r="F67" s="5"/>
      <c r="G67" s="5"/>
      <c r="H67" s="5"/>
    </row>
    <row r="68" spans="1:8" x14ac:dyDescent="0.3">
      <c r="A68" s="9">
        <f>ROW()-ROW($A$14)</f>
        <v>54</v>
      </c>
      <c r="B68" s="9">
        <f>IF(A68&lt;=$B$8,$B$6+(A68-1)*($B$7-$B$6)/MAX(1,$B$8-1),NA())</f>
        <v>53</v>
      </c>
      <c r="C68" s="9">
        <f>RADIANS(B68)</f>
        <v>0.92502450355699462</v>
      </c>
      <c r="D68" s="9">
        <f>($B$3+$B$4)*COS(C68)-$B$4*COS((($B$3+$B$4)/$B$4)*C68)</f>
        <v>14.338726567174485</v>
      </c>
      <c r="E68" s="9">
        <f>($B$3+$B$4)*SIN(C68)-$B$4*SIN((($B$3+$B$4)/$B$4)*C68)</f>
        <v>27.304718333213081</v>
      </c>
      <c r="F68" s="5"/>
      <c r="G68" s="5"/>
      <c r="H68" s="5"/>
    </row>
    <row r="69" spans="1:8" x14ac:dyDescent="0.3">
      <c r="A69" s="9">
        <f>ROW()-ROW($A$14)</f>
        <v>55</v>
      </c>
      <c r="B69" s="9">
        <f>IF(A69&lt;=$B$8,$B$6+(A69-1)*($B$7-$B$6)/MAX(1,$B$8-1),NA())</f>
        <v>54</v>
      </c>
      <c r="C69" s="9">
        <f>RADIANS(B69)</f>
        <v>0.94247779607693793</v>
      </c>
      <c r="D69" s="9">
        <f>($B$3+$B$4)*COS(C69)-$B$4*COS((($B$3+$B$4)/$B$4)*C69)</f>
        <v>13.588472596899457</v>
      </c>
      <c r="E69" s="9">
        <f>($B$3+$B$4)*SIN(C69)-$B$4*SIN((($B$3+$B$4)/$B$4)*C69)</f>
        <v>27.209436092710792</v>
      </c>
      <c r="F69" s="5"/>
      <c r="G69" s="5"/>
      <c r="H69" s="5"/>
    </row>
    <row r="70" spans="1:8" x14ac:dyDescent="0.3">
      <c r="A70" s="9">
        <f>ROW()-ROW($A$14)</f>
        <v>56</v>
      </c>
      <c r="B70" s="9">
        <f>IF(A70&lt;=$B$8,$B$6+(A70-1)*($B$7-$B$6)/MAX(1,$B$8-1),NA())</f>
        <v>55</v>
      </c>
      <c r="C70" s="9">
        <f>RADIANS(B70)</f>
        <v>0.95993108859688125</v>
      </c>
      <c r="D70" s="9">
        <f>($B$3+$B$4)*COS(C70)-$B$4*COS((($B$3+$B$4)/$B$4)*C70)</f>
        <v>12.877166071609189</v>
      </c>
      <c r="E70" s="9">
        <f>($B$3+$B$4)*SIN(C70)-$B$4*SIN((($B$3+$B$4)/$B$4)*C70)</f>
        <v>27.074561328669752</v>
      </c>
      <c r="F70" s="5"/>
      <c r="G70" s="5"/>
      <c r="H70" s="5"/>
    </row>
    <row r="71" spans="1:8" x14ac:dyDescent="0.3">
      <c r="A71" s="9">
        <f>ROW()-ROW($A$14)</f>
        <v>57</v>
      </c>
      <c r="B71" s="9">
        <f>IF(A71&lt;=$B$8,$B$6+(A71-1)*($B$7-$B$6)/MAX(1,$B$8-1),NA())</f>
        <v>56</v>
      </c>
      <c r="C71" s="9">
        <f>RADIANS(B71)</f>
        <v>0.97738438111682457</v>
      </c>
      <c r="D71" s="9">
        <f>($B$3+$B$4)*COS(C71)-$B$4*COS((($B$3+$B$4)/$B$4)*C71)</f>
        <v>12.208059815909399</v>
      </c>
      <c r="E71" s="9">
        <f>($B$3+$B$4)*SIN(C71)-$B$4*SIN((($B$3+$B$4)/$B$4)*C71)</f>
        <v>26.904810392030253</v>
      </c>
      <c r="F71" s="5"/>
      <c r="G71" s="5"/>
      <c r="H71" s="5"/>
    </row>
    <row r="72" spans="1:8" x14ac:dyDescent="0.3">
      <c r="A72" s="9">
        <f>ROW()-ROW($A$14)</f>
        <v>58</v>
      </c>
      <c r="B72" s="9">
        <f>IF(A72&lt;=$B$8,$B$6+(A72-1)*($B$7-$B$6)/MAX(1,$B$8-1),NA())</f>
        <v>57</v>
      </c>
      <c r="C72" s="9">
        <f>RADIANS(B72)</f>
        <v>0.99483767363676789</v>
      </c>
      <c r="D72" s="9">
        <f>($B$3+$B$4)*COS(C72)-$B$4*COS((($B$3+$B$4)/$B$4)*C72)</f>
        <v>11.583888468975044</v>
      </c>
      <c r="E72" s="9">
        <f>($B$3+$B$4)*SIN(C72)-$B$4*SIN((($B$3+$B$4)/$B$4)*C72)</f>
        <v>26.705202010237457</v>
      </c>
      <c r="F72" s="5"/>
      <c r="G72" s="5"/>
      <c r="H72" s="5"/>
    </row>
    <row r="73" spans="1:8" x14ac:dyDescent="0.3">
      <c r="A73" s="9">
        <f>ROW()-ROW($A$14)</f>
        <v>59</v>
      </c>
      <c r="B73" s="9">
        <f>IF(A73&lt;=$B$8,$B$6+(A73-1)*($B$7-$B$6)/MAX(1,$B$8-1),NA())</f>
        <v>58</v>
      </c>
      <c r="C73" s="9">
        <f>RADIANS(B73)</f>
        <v>1.0122909661567112</v>
      </c>
      <c r="D73" s="9">
        <f>($B$3+$B$4)*COS(C73)-$B$4*COS((($B$3+$B$4)/$B$4)*C73)</f>
        <v>11.006839923327119</v>
      </c>
      <c r="E73" s="9">
        <f>($B$3+$B$4)*SIN(C73)-$B$4*SIN((($B$3+$B$4)/$B$4)*C73)</f>
        <v>26.481001338781574</v>
      </c>
      <c r="F73" s="5"/>
      <c r="G73" s="5"/>
      <c r="H73" s="5"/>
    </row>
    <row r="74" spans="1:8" x14ac:dyDescent="0.3">
      <c r="A74" s="9">
        <f>ROW()-ROW($A$14)</f>
        <v>60</v>
      </c>
      <c r="B74" s="9">
        <f>IF(A74&lt;=$B$8,$B$6+(A74-1)*($B$7-$B$6)/MAX(1,$B$8-1),NA())</f>
        <v>59</v>
      </c>
      <c r="C74" s="9">
        <f>RADIANS(B74)</f>
        <v>1.0297442586766545</v>
      </c>
      <c r="D74" s="9">
        <f>($B$3+$B$4)*COS(C74)-$B$4*COS((($B$3+$B$4)/$B$4)*C74)</f>
        <v>10.478532770460259</v>
      </c>
      <c r="E74" s="9">
        <f>($B$3+$B$4)*SIN(C74)-$B$4*SIN((($B$3+$B$4)/$B$4)*C74)</f>
        <v>26.237661337401633</v>
      </c>
      <c r="F74" s="5"/>
      <c r="G74" s="5"/>
      <c r="H74" s="5"/>
    </row>
    <row r="75" spans="1:8" x14ac:dyDescent="0.3">
      <c r="A75" s="9">
        <f>ROW()-ROW($A$14)</f>
        <v>61</v>
      </c>
      <c r="B75" s="9">
        <f>IF(A75&lt;=$B$8,$B$6+(A75-1)*($B$7-$B$6)/MAX(1,$B$8-1),NA())</f>
        <v>60</v>
      </c>
      <c r="C75" s="9">
        <f>RADIANS(B75)</f>
        <v>1.0471975511965976</v>
      </c>
      <c r="D75" s="9">
        <f>($B$3+$B$4)*COS(C75)-$B$4*COS((($B$3+$B$4)/$B$4)*C75)</f>
        <v>10.000000000000004</v>
      </c>
      <c r="E75" s="9">
        <f>($B$3+$B$4)*SIN(C75)-$B$4*SIN((($B$3+$B$4)/$B$4)*C75)</f>
        <v>25.980762113533157</v>
      </c>
      <c r="F75" s="5"/>
      <c r="G75" s="5"/>
      <c r="H75" s="5"/>
    </row>
    <row r="76" spans="1:8" x14ac:dyDescent="0.3">
      <c r="A76" s="9">
        <f>ROW()-ROW($A$14)</f>
        <v>62</v>
      </c>
      <c r="B76" s="9">
        <f>IF(A76&lt;=$B$8,$B$6+(A76-1)*($B$7-$B$6)/MAX(1,$B$8-1),NA())</f>
        <v>61</v>
      </c>
      <c r="C76" s="9">
        <f>RADIANS(B76)</f>
        <v>1.064650843716541</v>
      </c>
      <c r="D76" s="9">
        <f>($B$3+$B$4)*COS(C76)-$B$4*COS((($B$3+$B$4)/$B$4)*C76)</f>
        <v>9.5716791305487465</v>
      </c>
      <c r="E76" s="9">
        <f>($B$3+$B$4)*SIN(C76)-$B$4*SIN((($B$3+$B$4)/$B$4)*C76)</f>
        <v>25.71594889784361</v>
      </c>
      <c r="F76" s="5"/>
      <c r="G76" s="5"/>
      <c r="H76" s="5"/>
    </row>
    <row r="77" spans="1:8" x14ac:dyDescent="0.3">
      <c r="A77" s="9">
        <f>ROW()-ROW($A$14)</f>
        <v>63</v>
      </c>
      <c r="B77" s="9">
        <f>IF(A77&lt;=$B$8,$B$6+(A77-1)*($B$7-$B$6)/MAX(1,$B$8-1),NA())</f>
        <v>62</v>
      </c>
      <c r="C77" s="9">
        <f>RADIANS(B77)</f>
        <v>1.0821041362364843</v>
      </c>
      <c r="D77" s="9">
        <f>($B$3+$B$4)*COS(C77)-$B$4*COS((($B$3+$B$4)/$B$4)*C77)</f>
        <v>9.1934088799076967</v>
      </c>
      <c r="E77" s="9">
        <f>($B$3+$B$4)*SIN(C77)-$B$4*SIN((($B$3+$B$4)/$B$4)*C77)</f>
        <v>25.448869331679017</v>
      </c>
      <c r="F77" s="5"/>
      <c r="G77" s="5"/>
      <c r="H77" s="5"/>
    </row>
    <row r="78" spans="1:8" x14ac:dyDescent="0.3">
      <c r="A78" s="9">
        <f>ROW()-ROW($A$14)</f>
        <v>64</v>
      </c>
      <c r="B78" s="9">
        <f>IF(A78&lt;=$B$8,$B$6+(A78-1)*($B$7-$B$6)/MAX(1,$B$8-1),NA())</f>
        <v>63</v>
      </c>
      <c r="C78" s="9">
        <f>RADIANS(B78)</f>
        <v>1.0995574287564276</v>
      </c>
      <c r="D78" s="9">
        <f>($B$3+$B$4)*COS(C78)-$B$4*COS((($B$3+$B$4)/$B$4)*C78)</f>
        <v>8.864432410710636</v>
      </c>
      <c r="E78" s="9">
        <f>($B$3+$B$4)*SIN(C78)-$B$4*SIN((($B$3+$B$4)/$B$4)*C78)</f>
        <v>25.185110753776296</v>
      </c>
      <c r="F78" s="5"/>
      <c r="G78" s="5"/>
      <c r="H78" s="5"/>
    </row>
    <row r="79" spans="1:8" x14ac:dyDescent="0.3">
      <c r="A79" s="9">
        <f>ROW()-ROW($A$14)</f>
        <v>65</v>
      </c>
      <c r="B79" s="9">
        <f>IF(A79&lt;=$B$8,$B$6+(A79-1)*($B$7-$B$6)/MAX(1,$B$8-1),NA())</f>
        <v>64</v>
      </c>
      <c r="C79" s="9">
        <f>RADIANS(B79)</f>
        <v>1.1170107212763709</v>
      </c>
      <c r="D79" s="9">
        <f>($B$3+$B$4)*COS(C79)-$B$4*COS((($B$3+$B$4)/$B$4)*C79)</f>
        <v>8.5834071154593197</v>
      </c>
      <c r="E79" s="9">
        <f>($B$3+$B$4)*SIN(C79)-$B$4*SIN((($B$3+$B$4)/$B$4)*C79)</f>
        <v>24.930138173596006</v>
      </c>
      <c r="F79" s="5"/>
      <c r="G79" s="5"/>
      <c r="H79" s="5"/>
    </row>
    <row r="80" spans="1:8" x14ac:dyDescent="0.3">
      <c r="A80" s="9">
        <f>ROW()-ROW($A$14)</f>
        <v>66</v>
      </c>
      <c r="B80" s="9">
        <f>IF(A80&lt;=$B$8,$B$6+(A80-1)*($B$7-$B$6)/MAX(1,$B$8-1),NA())</f>
        <v>65</v>
      </c>
      <c r="C80" s="9">
        <f>RADIANS(B80)</f>
        <v>1.1344640137963142</v>
      </c>
      <c r="D80" s="9">
        <f>($B$3+$B$4)*COS(C80)-$B$4*COS((($B$3+$B$4)/$B$4)*C80)</f>
        <v>8.3484208332987908</v>
      </c>
      <c r="E80" s="9">
        <f>($B$3+$B$4)*SIN(C80)-$B$4*SIN((($B$3+$B$4)/$B$4)*C80)</f>
        <v>24.6892336110995</v>
      </c>
      <c r="F80" s="5"/>
      <c r="G80" s="5"/>
      <c r="H80" s="5"/>
    </row>
    <row r="81" spans="1:8" x14ac:dyDescent="0.3">
      <c r="A81" s="9">
        <f>ROW()-ROW($A$14)</f>
        <v>67</v>
      </c>
      <c r="B81" s="9">
        <f>IF(A81&lt;=$B$8,$B$6+(A81-1)*($B$7-$B$6)/MAX(1,$B$8-1),NA())</f>
        <v>66</v>
      </c>
      <c r="C81" s="9">
        <f>RADIANS(B81)</f>
        <v>1.1519173063162575</v>
      </c>
      <c r="D81" s="9">
        <f>($B$3+$B$4)*COS(C81)-$B$4*COS((($B$3+$B$4)/$B$4)*C81)</f>
        <v>8.1570143203992682</v>
      </c>
      <c r="E81" s="9">
        <f>($B$3+$B$4)*SIN(C81)-$B$4*SIN((($B$3+$B$4)/$B$4)*C81)</f>
        <v>24.467437467815664</v>
      </c>
      <c r="F81" s="5"/>
      <c r="G81" s="5"/>
      <c r="H81" s="5"/>
    </row>
    <row r="82" spans="1:8" x14ac:dyDescent="0.3">
      <c r="A82" s="9">
        <f>ROW()-ROW($A$14)</f>
        <v>68</v>
      </c>
      <c r="B82" s="9">
        <f>IF(A82&lt;=$B$8,$B$6+(A82-1)*($B$7-$B$6)/MAX(1,$B$8-1),NA())</f>
        <v>67</v>
      </c>
      <c r="C82" s="9">
        <f>RADIANS(B82)</f>
        <v>1.1693705988362009</v>
      </c>
      <c r="D82" s="9">
        <f>($B$3+$B$4)*COS(C82)-$B$4*COS((($B$3+$B$4)/$B$4)*C82)</f>
        <v>8.0062097272912407</v>
      </c>
      <c r="E82" s="9">
        <f>($B$3+$B$4)*SIN(C82)-$B$4*SIN((($B$3+$B$4)/$B$4)*C82)</f>
        <v>24.269492571778919</v>
      </c>
      <c r="F82" s="5"/>
      <c r="G82" s="5"/>
      <c r="H82" s="5"/>
    </row>
    <row r="83" spans="1:8" x14ac:dyDescent="0.3">
      <c r="A83" s="9">
        <f>ROW()-ROW($A$14)</f>
        <v>69</v>
      </c>
      <c r="B83" s="9">
        <f>IF(A83&lt;=$B$8,$B$6+(A83-1)*($B$7-$B$6)/MAX(1,$B$8-1),NA())</f>
        <v>68</v>
      </c>
      <c r="C83" s="9">
        <f>RADIANS(B83)</f>
        <v>1.1868238913561442</v>
      </c>
      <c r="D83" s="9">
        <f>($B$3+$B$4)*COS(C83)-$B$4*COS((($B$3+$B$4)/$B$4)*C83)</f>
        <v>7.8925447706830711</v>
      </c>
      <c r="E83" s="9">
        <f>($B$3+$B$4)*SIN(C83)-$B$4*SIN((($B$3+$B$4)/$B$4)*C83)</f>
        <v>24.099791509616647</v>
      </c>
      <c r="F83" s="5"/>
      <c r="G83" s="5"/>
      <c r="H83" s="5"/>
    </row>
    <row r="84" spans="1:8" x14ac:dyDescent="0.3">
      <c r="A84" s="9">
        <f>ROW()-ROW($A$14)</f>
        <v>70</v>
      </c>
      <c r="B84" s="9">
        <f>IF(A84&lt;=$B$8,$B$6+(A84-1)*($B$7-$B$6)/MAX(1,$B$8-1),NA())</f>
        <v>69</v>
      </c>
      <c r="C84" s="9">
        <f>RADIANS(B84)</f>
        <v>1.2042771838760873</v>
      </c>
      <c r="D84" s="9">
        <f>($B$3+$B$4)*COS(C84)-$B$4*COS((($B$3+$B$4)/$B$4)*C84)</f>
        <v>7.8121122248966444</v>
      </c>
      <c r="E84" s="9">
        <f>($B$3+$B$4)*SIN(C84)-$B$4*SIN((($B$3+$B$4)/$B$4)*C84)</f>
        <v>23.962327823041317</v>
      </c>
      <c r="F84" s="5"/>
      <c r="G84" s="5"/>
      <c r="H84" s="5"/>
    </row>
    <row r="85" spans="1:8" x14ac:dyDescent="0.3">
      <c r="A85" s="9">
        <f>ROW()-ROW($A$14)</f>
        <v>71</v>
      </c>
      <c r="B85" s="9">
        <f>IF(A85&lt;=$B$8,$B$6+(A85-1)*($B$7-$B$6)/MAX(1,$B$8-1),NA())</f>
        <v>70</v>
      </c>
      <c r="C85" s="9">
        <f>RADIANS(B85)</f>
        <v>1.2217304763960306</v>
      </c>
      <c r="D85" s="9">
        <f>($B$3+$B$4)*COS(C85)-$B$4*COS((($B$3+$B$4)/$B$4)*C85)</f>
        <v>7.7606042997700628</v>
      </c>
      <c r="E85" s="9">
        <f>($B$3+$B$4)*SIN(C85)-$B$4*SIN((($B$3+$B$4)/$B$4)*C85)</f>
        <v>23.860651604655057</v>
      </c>
      <c r="F85" s="5"/>
      <c r="G85" s="5"/>
      <c r="H85" s="5"/>
    </row>
    <row r="86" spans="1:8" x14ac:dyDescent="0.3">
      <c r="A86" s="9">
        <f>ROW()-ROW($A$14)</f>
        <v>72</v>
      </c>
      <c r="B86" s="9">
        <f>IF(A86&lt;=$B$8,$B$6+(A86-1)*($B$7-$B$6)/MAX(1,$B$8-1),NA())</f>
        <v>71</v>
      </c>
      <c r="C86" s="9">
        <f>RADIANS(B86)</f>
        <v>1.2391837689159739</v>
      </c>
      <c r="D86" s="9">
        <f>($B$3+$B$4)*COS(C86)-$B$4*COS((($B$3+$B$4)/$B$4)*C86)</f>
        <v>7.7333614183356971</v>
      </c>
      <c r="E86" s="9">
        <f>($B$3+$B$4)*SIN(C86)-$B$4*SIN((($B$3+$B$4)/$B$4)*C86)</f>
        <v>23.797829979766497</v>
      </c>
      <c r="F86" s="5"/>
      <c r="G86" s="5"/>
      <c r="H86" s="5"/>
    </row>
    <row r="87" spans="1:8" x14ac:dyDescent="0.3">
      <c r="A87" s="9">
        <f>ROW()-ROW($A$14)</f>
        <v>73</v>
      </c>
      <c r="B87" s="9">
        <f>IF(A87&lt;=$B$8,$B$6+(A87-1)*($B$7-$B$6)/MAX(1,$B$8-1),NA())</f>
        <v>72</v>
      </c>
      <c r="C87" s="9">
        <f>RADIANS(B87)</f>
        <v>1.2566370614359172</v>
      </c>
      <c r="D87" s="9">
        <f>($B$3+$B$4)*COS(C87)-$B$4*COS((($B$3+$B$4)/$B$4)*C87)</f>
        <v>7.7254248593736854</v>
      </c>
      <c r="E87" s="9">
        <f>($B$3+$B$4)*SIN(C87)-$B$4*SIN((($B$3+$B$4)/$B$4)*C87)</f>
        <v>23.776412907378838</v>
      </c>
      <c r="F87" s="5"/>
      <c r="G87" s="5"/>
      <c r="H87" s="5"/>
    </row>
    <row r="88" spans="1:8" x14ac:dyDescent="0.3">
      <c r="A88" s="9">
        <f>ROW()-ROW($A$14)</f>
        <v>74</v>
      </c>
      <c r="B88" s="9">
        <f>IF(A88&lt;=$B$8,$B$6+(A88-1)*($B$7-$B$6)/MAX(1,$B$8-1),NA())</f>
        <v>73</v>
      </c>
      <c r="C88" s="9">
        <f>RADIANS(B88)</f>
        <v>1.2740903539558606</v>
      </c>
      <c r="D88" s="9">
        <f>($B$3+$B$4)*COS(C88)-$B$4*COS((($B$3+$B$4)/$B$4)*C88)</f>
        <v>7.7315926875933085</v>
      </c>
      <c r="E88" s="9">
        <f>($B$3+$B$4)*SIN(C88)-$B$4*SIN((($B$3+$B$4)/$B$4)*C88)</f>
        <v>23.798404675222034</v>
      </c>
      <c r="F88" s="5"/>
      <c r="G88" s="5"/>
      <c r="H88" s="5"/>
    </row>
    <row r="89" spans="1:8" x14ac:dyDescent="0.3">
      <c r="A89" s="9">
        <f>ROW()-ROW($A$14)</f>
        <v>75</v>
      </c>
      <c r="B89" s="9">
        <f>IF(A89&lt;=$B$8,$B$6+(A89-1)*($B$7-$B$6)/MAX(1,$B$8-1),NA())</f>
        <v>74</v>
      </c>
      <c r="C89" s="9">
        <f>RADIANS(B89)</f>
        <v>1.2915436464758039</v>
      </c>
      <c r="D89" s="9">
        <f>($B$3+$B$4)*COS(C89)-$B$4*COS((($B$3+$B$4)/$B$4)*C89)</f>
        <v>7.7464783581717072</v>
      </c>
      <c r="E89" s="9">
        <f>($B$3+$B$4)*SIN(C89)-$B$4*SIN((($B$3+$B$4)/$B$4)*C89)</f>
        <v>23.8652414013082</v>
      </c>
      <c r="F89" s="5"/>
      <c r="G89" s="5"/>
      <c r="H89" s="5"/>
    </row>
    <row r="90" spans="1:8" x14ac:dyDescent="0.3">
      <c r="A90" s="9">
        <f>ROW()-ROW($A$14)</f>
        <v>76</v>
      </c>
      <c r="B90" s="9">
        <f>IF(A90&lt;=$B$8,$B$6+(A90-1)*($B$7-$B$6)/MAX(1,$B$8-1),NA())</f>
        <v>75</v>
      </c>
      <c r="C90" s="9">
        <f>RADIANS(B90)</f>
        <v>1.3089969389957472</v>
      </c>
      <c r="D90" s="9">
        <f>($B$3+$B$4)*COS(C90)-$B$4*COS((($B$3+$B$4)/$B$4)*C90)</f>
        <v>7.7645713530756204</v>
      </c>
      <c r="E90" s="9">
        <f>($B$3+$B$4)*SIN(C90)-$B$4*SIN((($B$3+$B$4)/$B$4)*C90)</f>
        <v>23.97777478867205</v>
      </c>
      <c r="F90" s="5"/>
      <c r="G90" s="5"/>
      <c r="H90" s="5"/>
    </row>
    <row r="91" spans="1:8" x14ac:dyDescent="0.3">
      <c r="A91" s="9">
        <f>ROW()-ROW($A$14)</f>
        <v>77</v>
      </c>
      <c r="B91" s="9">
        <f>IF(A91&lt;=$B$8,$B$6+(A91-1)*($B$7-$B$6)/MAX(1,$B$8-1),NA())</f>
        <v>76</v>
      </c>
      <c r="C91" s="9">
        <f>RADIANS(B91)</f>
        <v>1.3264502315156905</v>
      </c>
      <c r="D91" s="9">
        <f>($B$3+$B$4)*COS(C91)-$B$4*COS((($B$3+$B$4)/$B$4)*C91)</f>
        <v>7.7802991843282987</v>
      </c>
      <c r="E91" s="9">
        <f>($B$3+$B$4)*SIN(C91)-$B$4*SIN((($B$3+$B$4)/$B$4)*C91)</f>
        <v>24.136262311438529</v>
      </c>
      <c r="F91" s="5"/>
      <c r="G91" s="5"/>
      <c r="H91" s="5"/>
    </row>
    <row r="92" spans="1:8" x14ac:dyDescent="0.3">
      <c r="A92" s="9">
        <f>ROW()-ROW($A$14)</f>
        <v>78</v>
      </c>
      <c r="B92" s="9">
        <f>IF(A92&lt;=$B$8,$B$6+(A92-1)*($B$7-$B$6)/MAX(1,$B$8-1),NA())</f>
        <v>77</v>
      </c>
      <c r="C92" s="9">
        <f>RADIANS(B92)</f>
        <v>1.3439035240356338</v>
      </c>
      <c r="D92" s="9">
        <f>($B$3+$B$4)*COS(C92)-$B$4*COS((($B$3+$B$4)/$B$4)*C92)</f>
        <v>7.7880900844047485</v>
      </c>
      <c r="E92" s="9">
        <f>($B$3+$B$4)*SIN(C92)-$B$4*SIN((($B$3+$B$4)/$B$4)*C92)</f>
        <v>24.340363939888029</v>
      </c>
      <c r="F92" s="5"/>
      <c r="G92" s="5"/>
      <c r="H92" s="5"/>
    </row>
    <row r="93" spans="1:8" x14ac:dyDescent="0.3">
      <c r="A93" s="9">
        <f>ROW()-ROW($A$14)</f>
        <v>79</v>
      </c>
      <c r="B93" s="9">
        <f>IF(A93&lt;=$B$8,$B$6+(A93-1)*($B$7-$B$6)/MAX(1,$B$8-1),NA())</f>
        <v>78</v>
      </c>
      <c r="C93" s="9">
        <f>RADIANS(B93)</f>
        <v>1.3613568165555769</v>
      </c>
      <c r="D93" s="9">
        <f>($B$3+$B$4)*COS(C93)-$B$4*COS((($B$3+$B$4)/$B$4)*C93)</f>
        <v>7.7824356964075188</v>
      </c>
      <c r="E93" s="9">
        <f>($B$3+$B$4)*SIN(C93)-$B$4*SIN((($B$3+$B$4)/$B$4)*C93)</f>
        <v>24.589145440538399</v>
      </c>
      <c r="F93" s="5"/>
      <c r="G93" s="5"/>
      <c r="H93" s="5"/>
    </row>
    <row r="94" spans="1:8" x14ac:dyDescent="0.3">
      <c r="A94" s="9">
        <f>ROW()-ROW($A$14)</f>
        <v>80</v>
      </c>
      <c r="B94" s="9">
        <f>IF(A94&lt;=$B$8,$B$6+(A94-1)*($B$7-$B$6)/MAX(1,$B$8-1),NA())</f>
        <v>79</v>
      </c>
      <c r="C94" s="9">
        <f>RADIANS(B94)</f>
        <v>1.3788101090755203</v>
      </c>
      <c r="D94" s="9">
        <f>($B$3+$B$4)*COS(C94)-$B$4*COS((($B$3+$B$4)/$B$4)*C94)</f>
        <v>7.7579530766753493</v>
      </c>
      <c r="E94" s="9">
        <f>($B$3+$B$4)*SIN(C94)-$B$4*SIN((($B$3+$B$4)/$B$4)*C94)</f>
        <v>24.881088215216916</v>
      </c>
      <c r="F94" s="5"/>
      <c r="G94" s="5"/>
      <c r="H94" s="5"/>
    </row>
    <row r="95" spans="1:8" x14ac:dyDescent="0.3">
      <c r="A95" s="9">
        <f>ROW()-ROW($A$14)</f>
        <v>81</v>
      </c>
      <c r="B95" s="9">
        <f>IF(A95&lt;=$B$8,$B$6+(A95-1)*($B$7-$B$6)/MAX(1,$B$8-1),NA())</f>
        <v>80</v>
      </c>
      <c r="C95" s="9">
        <f>RADIANS(B95)</f>
        <v>1.3962634015954636</v>
      </c>
      <c r="D95" s="9">
        <f>($B$3+$B$4)*COS(C95)-$B$4*COS((($B$3+$B$4)/$B$4)*C95)</f>
        <v>7.7094453300079078</v>
      </c>
      <c r="E95" s="9">
        <f>($B$3+$B$4)*SIN(C95)-$B$4*SIN((($B$3+$B$4)/$B$4)*C95)</f>
        <v>25.214105571444048</v>
      </c>
      <c r="F95" s="5"/>
      <c r="G95" s="5"/>
      <c r="H95" s="5"/>
    </row>
    <row r="96" spans="1:8" x14ac:dyDescent="0.3">
      <c r="A96" s="9">
        <f>ROW()-ROW($A$14)</f>
        <v>82</v>
      </c>
      <c r="B96" s="9">
        <f>IF(A96&lt;=$B$8,$B$6+(A96-1)*($B$7-$B$6)/MAX(1,$B$8-1),NA())</f>
        <v>81</v>
      </c>
      <c r="C96" s="9">
        <f>RADIANS(B96)</f>
        <v>1.4137166941154069</v>
      </c>
      <c r="D96" s="9">
        <f>($B$3+$B$4)*COS(C96)-$B$4*COS((($B$3+$B$4)/$B$4)*C96)</f>
        <v>7.6319602126692931</v>
      </c>
      <c r="E96" s="9">
        <f>($B$3+$B$4)*SIN(C96)-$B$4*SIN((($B$3+$B$4)/$B$4)*C96)</f>
        <v>25.585565245979396</v>
      </c>
      <c r="F96" s="5"/>
      <c r="G96" s="5"/>
      <c r="H96" s="5"/>
    </row>
    <row r="97" spans="1:8" x14ac:dyDescent="0.3">
      <c r="A97" s="9">
        <f>ROW()-ROW($A$14)</f>
        <v>83</v>
      </c>
      <c r="B97" s="9">
        <f>IF(A97&lt;=$B$8,$B$6+(A97-1)*($B$7-$B$6)/MAX(1,$B$8-1),NA())</f>
        <v>82</v>
      </c>
      <c r="C97" s="9">
        <f>RADIANS(B97)</f>
        <v>1.4311699866353502</v>
      </c>
      <c r="D97" s="9">
        <f>($B$3+$B$4)*COS(C97)-$B$4*COS((($B$3+$B$4)/$B$4)*C97)</f>
        <v>7.5208460605962557</v>
      </c>
      <c r="E97" s="9">
        <f>($B$3+$B$4)*SIN(C97)-$B$4*SIN((($B$3+$B$4)/$B$4)*C97)</f>
        <v>25.992317934860139</v>
      </c>
      <c r="F97" s="5"/>
      <c r="G97" s="5"/>
      <c r="H97" s="5"/>
    </row>
    <row r="98" spans="1:8" x14ac:dyDescent="0.3">
      <c r="A98" s="9">
        <f>ROW()-ROW($A$14)</f>
        <v>84</v>
      </c>
      <c r="B98" s="9">
        <f>IF(A98&lt;=$B$8,$B$6+(A98-1)*($B$7-$B$6)/MAX(1,$B$8-1),NA())</f>
        <v>83</v>
      </c>
      <c r="C98" s="9">
        <f>RADIANS(B98)</f>
        <v>1.4486232791552935</v>
      </c>
      <c r="D98" s="9">
        <f>($B$3+$B$4)*COS(C98)-$B$4*COS((($B$3+$B$4)/$B$4)*C98)</f>
        <v>7.3718044295413927</v>
      </c>
      <c r="E98" s="9">
        <f>($B$3+$B$4)*SIN(C98)-$B$4*SIN((($B$3+$B$4)/$B$4)*C98)</f>
        <v>26.430731517445363</v>
      </c>
      <c r="F98" s="5"/>
      <c r="G98" s="5"/>
      <c r="H98" s="5"/>
    </row>
    <row r="99" spans="1:8" x14ac:dyDescent="0.3">
      <c r="A99" s="9">
        <f>ROW()-ROW($A$14)</f>
        <v>85</v>
      </c>
      <c r="B99" s="9">
        <f>IF(A99&lt;=$B$8,$B$6+(A99-1)*($B$7-$B$6)/MAX(1,$B$8-1),NA())</f>
        <v>84</v>
      </c>
      <c r="C99" s="9">
        <f>RADIANS(B99)</f>
        <v>1.4660765716752369</v>
      </c>
      <c r="D99" s="9">
        <f>($B$3+$B$4)*COS(C99)-$B$4*COS((($B$3+$B$4)/$B$4)*C99)</f>
        <v>7.1809388699043399</v>
      </c>
      <c r="E99" s="9">
        <f>($B$3+$B$4)*SIN(C99)-$B$4*SIN((($B$3+$B$4)/$B$4)*C99)</f>
        <v>26.896730599585833</v>
      </c>
      <c r="F99" s="5"/>
      <c r="G99" s="5"/>
      <c r="H99" s="5"/>
    </row>
    <row r="100" spans="1:8" x14ac:dyDescent="0.3">
      <c r="A100" s="9">
        <f>ROW()-ROW($A$14)</f>
        <v>86</v>
      </c>
      <c r="B100" s="9">
        <f>IF(A100&lt;=$B$8,$B$6+(A100-1)*($B$7-$B$6)/MAX(1,$B$8-1),NA())</f>
        <v>85</v>
      </c>
      <c r="C100" s="9">
        <f>RADIANS(B100)</f>
        <v>1.4835298641951802</v>
      </c>
      <c r="D100" s="9">
        <f>($B$3+$B$4)*COS(C100)-$B$4*COS((($B$3+$B$4)/$B$4)*C100)</f>
        <v>6.9447993013519387</v>
      </c>
      <c r="E100" s="9">
        <f>($B$3+$B$4)*SIN(C100)-$B$4*SIN((($B$3+$B$4)/$B$4)*C100)</f>
        <v>27.385840942752367</v>
      </c>
      <c r="F100" s="5"/>
      <c r="G100" s="5"/>
      <c r="H100" s="5"/>
    </row>
    <row r="101" spans="1:8" x14ac:dyDescent="0.3">
      <c r="A101" s="9">
        <f>ROW()-ROW($A$14)</f>
        <v>87</v>
      </c>
      <c r="B101" s="9">
        <f>IF(A101&lt;=$B$8,$B$6+(A101-1)*($B$7-$B$6)/MAX(1,$B$8-1),NA())</f>
        <v>86</v>
      </c>
      <c r="C101" s="9">
        <f>RADIANS(B101)</f>
        <v>1.5009831567151235</v>
      </c>
      <c r="D101" s="9">
        <f>($B$3+$B$4)*COS(C101)-$B$4*COS((($B$3+$B$4)/$B$4)*C101)</f>
        <v>6.6604215005367635</v>
      </c>
      <c r="E101" s="9">
        <f>($B$3+$B$4)*SIN(C101)-$B$4*SIN((($B$3+$B$4)/$B$4)*C101)</f>
        <v>27.893238292415731</v>
      </c>
      <c r="F101" s="5"/>
      <c r="G101" s="5"/>
      <c r="H101" s="5"/>
    </row>
    <row r="102" spans="1:8" x14ac:dyDescent="0.3">
      <c r="A102" s="9">
        <f>ROW()-ROW($A$14)</f>
        <v>88</v>
      </c>
      <c r="B102" s="9">
        <f>IF(A102&lt;=$B$8,$B$6+(A102-1)*($B$7-$B$6)/MAX(1,$B$8-1),NA())</f>
        <v>87</v>
      </c>
      <c r="C102" s="9">
        <f>RADIANS(B102)</f>
        <v>1.5184364492350666</v>
      </c>
      <c r="D102" s="9">
        <f>($B$3+$B$4)*COS(C102)-$B$4*COS((($B$3+$B$4)/$B$4)*C102)</f>
        <v>6.3253612687640866</v>
      </c>
      <c r="E102" s="9">
        <f>($B$3+$B$4)*SIN(C102)-$B$4*SIN((($B$3+$B$4)/$B$4)*C102)</f>
        <v>28.413801070762474</v>
      </c>
      <c r="F102" s="5"/>
      <c r="G102" s="5"/>
      <c r="H102" s="5"/>
    </row>
    <row r="103" spans="1:8" x14ac:dyDescent="0.3">
      <c r="A103" s="9">
        <f>ROW()-ROW($A$14)</f>
        <v>89</v>
      </c>
      <c r="B103" s="9">
        <f>IF(A103&lt;=$B$8,$B$6+(A103-1)*($B$7-$B$6)/MAX(1,$B$8-1),NA())</f>
        <v>88</v>
      </c>
      <c r="C103" s="9">
        <f>RADIANS(B103)</f>
        <v>1.5358897417550099</v>
      </c>
      <c r="D103" s="9">
        <f>($B$3+$B$4)*COS(C103)-$B$4*COS((($B$3+$B$4)/$B$4)*C103)</f>
        <v>5.9377229047440592</v>
      </c>
      <c r="E103" s="9">
        <f>($B$3+$B$4)*SIN(C103)-$B$4*SIN((($B$3+$B$4)/$B$4)*C103)</f>
        <v>28.942166356484069</v>
      </c>
      <c r="F103" s="5"/>
      <c r="G103" s="5"/>
      <c r="H103" s="5"/>
    </row>
    <row r="104" spans="1:8" x14ac:dyDescent="0.3">
      <c r="A104" s="9">
        <f>ROW()-ROW($A$14)</f>
        <v>90</v>
      </c>
      <c r="B104" s="9">
        <f>IF(A104&lt;=$B$8,$B$6+(A104-1)*($B$7-$B$6)/MAX(1,$B$8-1),NA())</f>
        <v>89</v>
      </c>
      <c r="C104" s="9">
        <f>RADIANS(B104)</f>
        <v>1.5533430342749532</v>
      </c>
      <c r="D104" s="9">
        <f>($B$3+$B$4)*COS(C104)-$B$4*COS((($B$3+$B$4)/$B$4)*C104)</f>
        <v>5.4961816699598742</v>
      </c>
      <c r="E104" s="9">
        <f>($B$3+$B$4)*SIN(C104)-$B$4*SIN((($B$3+$B$4)/$B$4)*C104)</f>
        <v>29.472788538353466</v>
      </c>
      <c r="F104" s="5"/>
      <c r="G104" s="5"/>
      <c r="H104" s="5"/>
    </row>
    <row r="105" spans="1:8" x14ac:dyDescent="0.3">
      <c r="A105" s="9">
        <f>ROW()-ROW($A$14)</f>
        <v>91</v>
      </c>
      <c r="B105" s="9">
        <f>IF(A105&lt;=$B$8,$B$6+(A105-1)*($B$7-$B$6)/MAX(1,$B$8-1),NA())</f>
        <v>90</v>
      </c>
      <c r="C105" s="9">
        <f>RADIANS(B105)</f>
        <v>1.5707963267948966</v>
      </c>
      <c r="D105" s="9">
        <f>($B$3+$B$4)*COS(C105)-$B$4*COS((($B$3+$B$4)/$B$4)*C105)</f>
        <v>5.0000000000000018</v>
      </c>
      <c r="E105" s="9">
        <f>($B$3+$B$4)*SIN(C105)-$B$4*SIN((($B$3+$B$4)/$B$4)*C105)</f>
        <v>29.999999999999996</v>
      </c>
      <c r="F105" s="5"/>
      <c r="G105" s="5"/>
      <c r="H105" s="5"/>
    </row>
    <row r="106" spans="1:8" x14ac:dyDescent="0.3">
      <c r="A106" s="9">
        <f>ROW()-ROW($A$14)</f>
        <v>92</v>
      </c>
      <c r="B106" s="9">
        <f>IF(A106&lt;=$B$8,$B$6+(A106-1)*($B$7-$B$6)/MAX(1,$B$8-1),NA())</f>
        <v>91</v>
      </c>
      <c r="C106" s="9">
        <f>RADIANS(B106)</f>
        <v>1.5882496193148399</v>
      </c>
      <c r="D106" s="9">
        <f>($B$3+$B$4)*COS(C106)-$B$4*COS((($B$3+$B$4)/$B$4)*C106)</f>
        <v>4.4490372837228627</v>
      </c>
      <c r="E106" s="9">
        <f>($B$3+$B$4)*SIN(C106)-$B$4*SIN((($B$3+$B$4)/$B$4)*C106)</f>
        <v>30.518073171030004</v>
      </c>
      <c r="F106" s="5"/>
      <c r="G106" s="5"/>
      <c r="H106" s="5"/>
    </row>
    <row r="107" spans="1:8" x14ac:dyDescent="0.3">
      <c r="A107" s="9">
        <f>ROW()-ROW($A$14)</f>
        <v>93</v>
      </c>
      <c r="B107" s="9">
        <f>IF(A107&lt;=$B$8,$B$6+(A107-1)*($B$7-$B$6)/MAX(1,$B$8-1),NA())</f>
        <v>92</v>
      </c>
      <c r="C107" s="9">
        <f>RADIANS(B107)</f>
        <v>1.6057029118347832</v>
      </c>
      <c r="D107" s="9">
        <f>($B$3+$B$4)*COS(C107)-$B$4*COS((($B$3+$B$4)/$B$4)*C107)</f>
        <v>3.8437531025939986</v>
      </c>
      <c r="E107" s="9">
        <f>($B$3+$B$4)*SIN(C107)-$B$4*SIN((($B$3+$B$4)/$B$4)*C107)</f>
        <v>31.021283264661676</v>
      </c>
      <c r="F107" s="5"/>
      <c r="G107" s="5"/>
      <c r="H107" s="5"/>
    </row>
    <row r="108" spans="1:8" x14ac:dyDescent="0.3">
      <c r="A108" s="9">
        <f>ROW()-ROW($A$14)</f>
        <v>94</v>
      </c>
      <c r="B108" s="9">
        <f>IF(A108&lt;=$B$8,$B$6+(A108-1)*($B$7-$B$6)/MAX(1,$B$8-1),NA())</f>
        <v>93</v>
      </c>
      <c r="C108" s="9">
        <f>RADIANS(B108)</f>
        <v>1.6231562043547265</v>
      </c>
      <c r="D108" s="9">
        <f>($B$3+$B$4)*COS(C108)-$B$4*COS((($B$3+$B$4)/$B$4)*C108)</f>
        <v>3.185203894187453</v>
      </c>
      <c r="E108" s="9">
        <f>($B$3+$B$4)*SIN(C108)-$B$4*SIN((($B$3+$B$4)/$B$4)*C108)</f>
        <v>31.503971014511951</v>
      </c>
      <c r="F108" s="5"/>
      <c r="G108" s="5"/>
      <c r="H108" s="5"/>
    </row>
    <row r="109" spans="1:8" x14ac:dyDescent="0.3">
      <c r="A109" s="9">
        <f>ROW()-ROW($A$14)</f>
        <v>95</v>
      </c>
      <c r="B109" s="9">
        <f>IF(A109&lt;=$B$8,$B$6+(A109-1)*($B$7-$B$6)/MAX(1,$B$8-1),NA())</f>
        <v>94</v>
      </c>
      <c r="C109" s="9">
        <f>RADIANS(B109)</f>
        <v>1.6406094968746698</v>
      </c>
      <c r="D109" s="9">
        <f>($B$3+$B$4)*COS(C109)-$B$4*COS((($B$3+$B$4)/$B$4)*C109)</f>
        <v>2.4750330758892436</v>
      </c>
      <c r="E109" s="9">
        <f>($B$3+$B$4)*SIN(C109)-$B$4*SIN((($B$3+$B$4)/$B$4)*C109)</f>
        <v>31.960604723173731</v>
      </c>
      <c r="F109" s="5"/>
      <c r="G109" s="5"/>
      <c r="H109" s="5"/>
    </row>
    <row r="110" spans="1:8" x14ac:dyDescent="0.3">
      <c r="A110" s="9">
        <f>ROW()-ROW($A$14)</f>
        <v>96</v>
      </c>
      <c r="B110" s="9">
        <f>IF(A110&lt;=$B$8,$B$6+(A110-1)*($B$7-$B$6)/MAX(1,$B$8-1),NA())</f>
        <v>95</v>
      </c>
      <c r="C110" s="9">
        <f>RADIANS(B110)</f>
        <v>1.6580627893946132</v>
      </c>
      <c r="D110" s="9">
        <f>($B$3+$B$4)*COS(C110)-$B$4*COS((($B$3+$B$4)/$B$4)*C110)</f>
        <v>1.7154547364924437</v>
      </c>
      <c r="E110" s="9">
        <f>($B$3+$B$4)*SIN(C110)-$B$4*SIN((($B$3+$B$4)/$B$4)*C110)</f>
        <v>32.385840942752367</v>
      </c>
      <c r="F110" s="5"/>
      <c r="G110" s="5"/>
      <c r="H110" s="5"/>
    </row>
    <row r="111" spans="1:8" x14ac:dyDescent="0.3">
      <c r="A111" s="9">
        <f>ROW()-ROW($A$14)</f>
        <v>97</v>
      </c>
      <c r="B111" s="9">
        <f>IF(A111&lt;=$B$8,$B$6+(A111-1)*($B$7-$B$6)/MAX(1,$B$8-1),NA())</f>
        <v>96</v>
      </c>
      <c r="C111" s="9">
        <f>RADIANS(B111)</f>
        <v>1.6755160819145565</v>
      </c>
      <c r="D111" s="9">
        <f>($B$3+$B$4)*COS(C111)-$B$4*COS((($B$3+$B$4)/$B$4)*C111)</f>
        <v>0.90923107384513147</v>
      </c>
      <c r="E111" s="9">
        <f>($B$3+$B$4)*SIN(C111)-$B$4*SIN((($B$3+$B$4)/$B$4)*C111)</f>
        <v>32.774583122510563</v>
      </c>
      <c r="F111" s="5"/>
      <c r="G111" s="5"/>
      <c r="H111" s="5"/>
    </row>
    <row r="112" spans="1:8" x14ac:dyDescent="0.3">
      <c r="A112" s="9">
        <f>ROW()-ROW($A$14)</f>
        <v>98</v>
      </c>
      <c r="B112" s="9">
        <f>IF(A112&lt;=$B$8,$B$6+(A112-1)*($B$7-$B$6)/MAX(1,$B$8-1),NA())</f>
        <v>97</v>
      </c>
      <c r="C112" s="9">
        <f>RADIANS(B112)</f>
        <v>1.6929693744344996</v>
      </c>
      <c r="D112" s="9">
        <f>($B$3+$B$4)*COS(C112)-$B$4*COS((($B$3+$B$4)/$B$4)*C112)</f>
        <v>5.9643825232549741E-2</v>
      </c>
      <c r="E112" s="9">
        <f>($B$3+$B$4)*SIN(C112)-$B$4*SIN((($B$3+$B$4)/$B$4)*C112)</f>
        <v>33.12203758103395</v>
      </c>
      <c r="F112" s="5"/>
      <c r="G112" s="5"/>
      <c r="H112" s="5"/>
    </row>
    <row r="113" spans="1:8" x14ac:dyDescent="0.3">
      <c r="A113" s="9">
        <f>ROW()-ROW($A$14)</f>
        <v>99</v>
      </c>
      <c r="B113" s="9">
        <f>IF(A113&lt;=$B$8,$B$6+(A113-1)*($B$7-$B$6)/MAX(1,$B$8-1),NA())</f>
        <v>98</v>
      </c>
      <c r="C113" s="9">
        <f>RADIANS(B113)</f>
        <v>1.7104226669544429</v>
      </c>
      <c r="D113" s="9">
        <f>($B$3+$B$4)*COS(C113)-$B$4*COS((($B$3+$B$4)/$B$4)*C113)</f>
        <v>-0.82953999700766623</v>
      </c>
      <c r="E113" s="9">
        <f>($B$3+$B$4)*SIN(C113)-$B$4*SIN((($B$3+$B$4)/$B$4)*C113)</f>
        <v>33.42376618963408</v>
      </c>
      <c r="F113" s="5"/>
      <c r="G113" s="5"/>
      <c r="H113" s="5"/>
    </row>
    <row r="114" spans="1:8" x14ac:dyDescent="0.3">
      <c r="A114" s="9">
        <f>ROW()-ROW($A$14)</f>
        <v>100</v>
      </c>
      <c r="B114" s="9">
        <f>IF(A114&lt;=$B$8,$B$6+(A114-1)*($B$7-$B$6)/MAX(1,$B$8-1),NA())</f>
        <v>99</v>
      </c>
      <c r="C114" s="9">
        <f>RADIANS(B114)</f>
        <v>1.7278759594743862</v>
      </c>
      <c r="D114" s="9">
        <f>($B$3+$B$4)*COS(C114)-$B$4*COS((($B$3+$B$4)/$B$4)*C114)</f>
        <v>-1.7541076897445573</v>
      </c>
      <c r="E114" s="9">
        <f>($B$3+$B$4)*SIN(C114)-$B$4*SIN((($B$3+$B$4)/$B$4)*C114)</f>
        <v>33.675735189728869</v>
      </c>
      <c r="F114" s="5"/>
      <c r="G114" s="5"/>
      <c r="H114" s="5"/>
    </row>
    <row r="115" spans="1:8" x14ac:dyDescent="0.3">
      <c r="A115" s="9">
        <f>ROW()-ROW($A$14)</f>
        <v>101</v>
      </c>
      <c r="B115" s="9">
        <f>IF(A115&lt;=$B$8,$B$6+(A115-1)*($B$7-$B$6)/MAX(1,$B$8-1),NA())</f>
        <v>100</v>
      </c>
      <c r="C115" s="9">
        <f>RADIANS(B115)</f>
        <v>1.7453292519943295</v>
      </c>
      <c r="D115" s="9">
        <f>($B$3+$B$4)*COS(C115)-$B$4*COS((($B$3+$B$4)/$B$4)*C115)</f>
        <v>-2.7094453300079104</v>
      </c>
      <c r="E115" s="9">
        <f>($B$3+$B$4)*SIN(C115)-$B$4*SIN((($B$3+$B$4)/$B$4)*C115)</f>
        <v>33.874359609288433</v>
      </c>
      <c r="F115" s="5"/>
      <c r="G115" s="5"/>
      <c r="H115" s="5"/>
    </row>
    <row r="116" spans="1:8" x14ac:dyDescent="0.3">
      <c r="A116" s="9">
        <f>ROW()-ROW($A$14)</f>
        <v>102</v>
      </c>
      <c r="B116" s="9">
        <f>IF(A116&lt;=$B$8,$B$6+(A116-1)*($B$7-$B$6)/MAX(1,$B$8-1),NA())</f>
        <v>101</v>
      </c>
      <c r="C116" s="9">
        <f>RADIANS(B116)</f>
        <v>1.7627825445142729</v>
      </c>
      <c r="D116" s="9">
        <f>($B$3+$B$4)*COS(C116)-$B$4*COS((($B$3+$B$4)/$B$4)*C116)</f>
        <v>-3.6905866459173384</v>
      </c>
      <c r="E116" s="9">
        <f>($B$3+$B$4)*SIN(C116)-$B$4*SIN((($B$3+$B$4)/$B$4)*C116)</f>
        <v>34.016542791642919</v>
      </c>
      <c r="F116" s="5"/>
      <c r="G116" s="5"/>
      <c r="H116" s="5"/>
    </row>
    <row r="117" spans="1:8" x14ac:dyDescent="0.3">
      <c r="A117" s="9">
        <f>ROW()-ROW($A$14)</f>
        <v>103</v>
      </c>
      <c r="B117" s="9">
        <f>IF(A117&lt;=$B$8,$B$6+(A117-1)*($B$7-$B$6)/MAX(1,$B$8-1),NA())</f>
        <v>102</v>
      </c>
      <c r="C117" s="9">
        <f>RADIANS(B117)</f>
        <v>1.7802358370342162</v>
      </c>
      <c r="D117" s="9">
        <f>($B$3+$B$4)*COS(C117)-$B$4*COS((($B$3+$B$4)/$B$4)*C117)</f>
        <v>-4.6922657526580416</v>
      </c>
      <c r="E117" s="9">
        <f>($B$3+$B$4)*SIN(C117)-$B$4*SIN((($B$3+$B$4)/$B$4)*C117)</f>
        <v>34.099710603489939</v>
      </c>
      <c r="F117" s="5"/>
      <c r="G117" s="5"/>
      <c r="H117" s="5"/>
    </row>
    <row r="118" spans="1:8" x14ac:dyDescent="0.3">
      <c r="A118" s="9">
        <f>ROW()-ROW($A$14)</f>
        <v>104</v>
      </c>
      <c r="B118" s="9">
        <f>IF(A118&lt;=$B$8,$B$6+(A118-1)*($B$7-$B$6)/MAX(1,$B$8-1),NA())</f>
        <v>103</v>
      </c>
      <c r="C118" s="9">
        <f>RADIANS(B118)</f>
        <v>1.7976891295541595</v>
      </c>
      <c r="D118" s="9">
        <f>($B$3+$B$4)*COS(C118)-$B$4*COS((($B$3+$B$4)/$B$4)*C118)</f>
        <v>-5.7089731762271558</v>
      </c>
      <c r="E118" s="9">
        <f>($B$3+$B$4)*SIN(C118)-$B$4*SIN((($B$3+$B$4)/$B$4)*C118)</f>
        <v>34.121839947226086</v>
      </c>
      <c r="F118" s="5"/>
      <c r="G118" s="5"/>
      <c r="H118" s="5"/>
    </row>
    <row r="119" spans="1:8" x14ac:dyDescent="0.3">
      <c r="A119" s="9">
        <f>ROW()-ROW($A$14)</f>
        <v>105</v>
      </c>
      <c r="B119" s="9">
        <f>IF(A119&lt;=$B$8,$B$6+(A119-1)*($B$7-$B$6)/MAX(1,$B$8-1),NA())</f>
        <v>104</v>
      </c>
      <c r="C119" s="9">
        <f>RADIANS(B119)</f>
        <v>1.8151424220741028</v>
      </c>
      <c r="D119" s="9">
        <f>($B$3+$B$4)*COS(C119)-$B$4*COS((($B$3+$B$4)/$B$4)*C119)</f>
        <v>-6.7350145516517701</v>
      </c>
      <c r="E119" s="9">
        <f>($B$3+$B$4)*SIN(C119)-$B$4*SIN((($B$3+$B$4)/$B$4)*C119)</f>
        <v>34.081481265121262</v>
      </c>
      <c r="F119" s="5"/>
      <c r="G119" s="5"/>
      <c r="H119" s="5"/>
    </row>
    <row r="120" spans="1:8" x14ac:dyDescent="0.3">
      <c r="A120" s="9">
        <f>ROW()-ROW($A$14)</f>
        <v>106</v>
      </c>
      <c r="B120" s="9">
        <f>IF(A120&lt;=$B$8,$B$6+(A120-1)*($B$7-$B$6)/MAX(1,$B$8-1),NA())</f>
        <v>105</v>
      </c>
      <c r="C120" s="9">
        <f>RADIANS(B120)</f>
        <v>1.8325957145940461</v>
      </c>
      <c r="D120" s="9">
        <f>($B$3+$B$4)*COS(C120)-$B$4*COS((($B$3+$B$4)/$B$4)*C120)</f>
        <v>-7.7645713530756328</v>
      </c>
      <c r="E120" s="9">
        <f>($B$3+$B$4)*SIN(C120)-$B$4*SIN((($B$3+$B$4)/$B$4)*C120)</f>
        <v>33.97777478867205</v>
      </c>
      <c r="F120" s="5"/>
      <c r="G120" s="5"/>
      <c r="H120" s="5"/>
    </row>
    <row r="121" spans="1:8" x14ac:dyDescent="0.3">
      <c r="A121" s="9">
        <f>ROW()-ROW($A$14)</f>
        <v>107</v>
      </c>
      <c r="B121" s="9">
        <f>IF(A121&lt;=$B$8,$B$6+(A121-1)*($B$7-$B$6)/MAX(1,$B$8-1),NA())</f>
        <v>106</v>
      </c>
      <c r="C121" s="9">
        <f>RADIANS(B121)</f>
        <v>1.8500490071139892</v>
      </c>
      <c r="D121" s="9">
        <f>($B$3+$B$4)*COS(C121)-$B$4*COS((($B$3+$B$4)/$B$4)*C121)</f>
        <v>-8.7917629908482322</v>
      </c>
      <c r="E121" s="9">
        <f>($B$3+$B$4)*SIN(C121)-$B$4*SIN((($B$3+$B$4)/$B$4)*C121)</f>
        <v>33.810460354990937</v>
      </c>
      <c r="F121" s="5"/>
      <c r="G121" s="5"/>
      <c r="H121" s="5"/>
    </row>
    <row r="122" spans="1:8" x14ac:dyDescent="0.3">
      <c r="A122" s="9">
        <f>ROW()-ROW($A$14)</f>
        <v>108</v>
      </c>
      <c r="B122" s="9">
        <f>IF(A122&lt;=$B$8,$B$6+(A122-1)*($B$7-$B$6)/MAX(1,$B$8-1),NA())</f>
        <v>107</v>
      </c>
      <c r="C122" s="9">
        <f>RADIANS(B122)</f>
        <v>1.8675022996339325</v>
      </c>
      <c r="D122" s="9">
        <f>($B$3+$B$4)*COS(C122)-$B$4*COS((($B$3+$B$4)/$B$4)*C122)</f>
        <v>-9.8107095957708914</v>
      </c>
      <c r="E122" s="9">
        <f>($B$3+$B$4)*SIN(C122)-$B$4*SIN((($B$3+$B$4)/$B$4)*C122)</f>
        <v>33.579880682560095</v>
      </c>
      <c r="F122" s="5"/>
      <c r="G122" s="5"/>
      <c r="H122" s="5"/>
    </row>
    <row r="123" spans="1:8" x14ac:dyDescent="0.3">
      <c r="A123" s="9">
        <f>ROW()-ROW($A$14)</f>
        <v>109</v>
      </c>
      <c r="B123" s="9">
        <f>IF(A123&lt;=$B$8,$B$6+(A123-1)*($B$7-$B$6)/MAX(1,$B$8-1),NA())</f>
        <v>108</v>
      </c>
      <c r="C123" s="9">
        <f>RADIANS(B123)</f>
        <v>1.8849555921538759</v>
      </c>
      <c r="D123" s="9">
        <f>($B$3+$B$4)*COS(C123)-$B$4*COS((($B$3+$B$4)/$B$4)*C123)</f>
        <v>-10.815594803123155</v>
      </c>
      <c r="E123" s="9">
        <f>($B$3+$B$4)*SIN(C123)-$B$4*SIN((($B$3+$B$4)/$B$4)*C123)</f>
        <v>33.286978070330377</v>
      </c>
      <c r="F123" s="5"/>
      <c r="G123" s="5"/>
      <c r="H123" s="5"/>
    </row>
    <row r="124" spans="1:8" x14ac:dyDescent="0.3">
      <c r="A124" s="9">
        <f>ROW()-ROW($A$14)</f>
        <v>110</v>
      </c>
      <c r="B124" s="9">
        <f>IF(A124&lt;=$B$8,$B$6+(A124-1)*($B$7-$B$6)/MAX(1,$B$8-1),NA())</f>
        <v>109</v>
      </c>
      <c r="C124" s="9">
        <f>RADIANS(B124)</f>
        <v>1.9024088846738192</v>
      </c>
      <c r="D124" s="9">
        <f>($B$3+$B$4)*COS(C124)-$B$4*COS((($B$3+$B$4)/$B$4)*C124)</f>
        <v>-11.8007278490937</v>
      </c>
      <c r="E124" s="9">
        <f>($B$3+$B$4)*SIN(C124)-$B$4*SIN((($B$3+$B$4)/$B$4)*C124)</f>
        <v>32.933284556192511</v>
      </c>
      <c r="F124" s="5"/>
      <c r="G124" s="5"/>
      <c r="H124" s="5"/>
    </row>
    <row r="125" spans="1:8" x14ac:dyDescent="0.3">
      <c r="A125" s="9">
        <f>ROW()-ROW($A$14)</f>
        <v>111</v>
      </c>
      <c r="B125" s="9">
        <f>IF(A125&lt;=$B$8,$B$6+(A125-1)*($B$7-$B$6)/MAX(1,$B$8-1),NA())</f>
        <v>110</v>
      </c>
      <c r="C125" s="9">
        <f>RADIANS(B125)</f>
        <v>1.9198621771937625</v>
      </c>
      <c r="D125" s="9">
        <f>($B$3+$B$4)*COS(C125)-$B$4*COS((($B$3+$B$4)/$B$4)*C125)</f>
        <v>-12.760604299770065</v>
      </c>
      <c r="E125" s="9">
        <f>($B$3+$B$4)*SIN(C125)-$B$4*SIN((($B$3+$B$4)/$B$4)*C125)</f>
        <v>32.520905642499443</v>
      </c>
      <c r="F125" s="5"/>
      <c r="G125" s="5"/>
      <c r="H125" s="5"/>
    </row>
    <row r="126" spans="1:8" x14ac:dyDescent="0.3">
      <c r="A126" s="9">
        <f>ROW()-ROW($A$14)</f>
        <v>112</v>
      </c>
      <c r="B126" s="9">
        <f>IF(A126&lt;=$B$8,$B$6+(A126-1)*($B$7-$B$6)/MAX(1,$B$8-1),NA())</f>
        <v>111</v>
      </c>
      <c r="C126" s="9">
        <f>RADIANS(B126)</f>
        <v>1.9373154697137058</v>
      </c>
      <c r="D126" s="9">
        <f>($B$3+$B$4)*COS(C126)-$B$4*COS((($B$3+$B$4)/$B$4)*C126)</f>
        <v>-13.689964747821371</v>
      </c>
      <c r="E126" s="9">
        <f>($B$3+$B$4)*SIN(C126)-$B$4*SIN((($B$3+$B$4)/$B$4)*C126)</f>
        <v>32.052497766790793</v>
      </c>
      <c r="F126" s="5"/>
      <c r="G126" s="5"/>
      <c r="H126" s="5"/>
    </row>
    <row r="127" spans="1:8" x14ac:dyDescent="0.3">
      <c r="A127" s="9">
        <f>ROW()-ROW($A$14)</f>
        <v>113</v>
      </c>
      <c r="B127" s="9">
        <f>IF(A127&lt;=$B$8,$B$6+(A127-1)*($B$7-$B$6)/MAX(1,$B$8-1),NA())</f>
        <v>112</v>
      </c>
      <c r="C127" s="9">
        <f>RADIANS(B127)</f>
        <v>1.9547687622336491</v>
      </c>
      <c r="D127" s="9">
        <f>($B$3+$B$4)*COS(C127)-$B$4*COS((($B$3+$B$4)/$B$4)*C127)</f>
        <v>-14.583850834271654</v>
      </c>
      <c r="E127" s="9">
        <f>($B$3+$B$4)*SIN(C127)-$B$4*SIN((($B$3+$B$4)/$B$4)*C127)</f>
        <v>31.531239764390591</v>
      </c>
      <c r="F127" s="5"/>
      <c r="G127" s="5"/>
      <c r="H127" s="5"/>
    </row>
    <row r="128" spans="1:8" x14ac:dyDescent="0.3">
      <c r="A128" s="9">
        <f>ROW()-ROW($A$14)</f>
        <v>114</v>
      </c>
      <c r="B128" s="9">
        <f>IF(A128&lt;=$B$8,$B$6+(A128-1)*($B$7-$B$6)/MAX(1,$B$8-1),NA())</f>
        <v>113</v>
      </c>
      <c r="C128" s="9">
        <f>RADIANS(B128)</f>
        <v>1.9722220547535925</v>
      </c>
      <c r="D128" s="9">
        <f>($B$3+$B$4)*COS(C128)-$B$4*COS((($B$3+$B$4)/$B$4)*C128)</f>
        <v>-15.437657982065186</v>
      </c>
      <c r="E128" s="9">
        <f>($B$3+$B$4)*SIN(C128)-$B$4*SIN((($B$3+$B$4)/$B$4)*C128)</f>
        <v>30.960798635367496</v>
      </c>
      <c r="F128" s="5"/>
      <c r="G128" s="5"/>
      <c r="H128" s="5"/>
    </row>
    <row r="129" spans="1:8" x14ac:dyDescent="0.3">
      <c r="A129" s="9">
        <f>ROW()-ROW($A$14)</f>
        <v>115</v>
      </c>
      <c r="B129" s="9">
        <f>IF(A129&lt;=$B$8,$B$6+(A129-1)*($B$7-$B$6)/MAX(1,$B$8-1),NA())</f>
        <v>114</v>
      </c>
      <c r="C129" s="9">
        <f>RADIANS(B129)</f>
        <v>1.9896753472735358</v>
      </c>
      <c r="D129" s="9">
        <f>($B$3+$B$4)*COS(C129)-$B$4*COS((($B$3+$B$4)/$B$4)*C129)</f>
        <v>-16.247184264148743</v>
      </c>
      <c r="E129" s="9">
        <f>($B$3+$B$4)*SIN(C129)-$B$4*SIN((($B$3+$B$4)/$B$4)*C129)</f>
        <v>30.345289990740394</v>
      </c>
      <c r="F129" s="5"/>
      <c r="G129" s="5"/>
      <c r="H129" s="5"/>
    </row>
    <row r="130" spans="1:8" x14ac:dyDescent="0.3">
      <c r="A130" s="9">
        <f>ROW()-ROW($A$14)</f>
        <v>116</v>
      </c>
      <c r="B130" s="9">
        <f>IF(A130&lt;=$B$8,$B$6+(A130-1)*($B$7-$B$6)/MAX(1,$B$8-1),NA())</f>
        <v>115</v>
      </c>
      <c r="C130" s="9">
        <f>RADIANS(B130)</f>
        <v>2.0071286397934789</v>
      </c>
      <c r="D130" s="9">
        <f>($B$3+$B$4)*COS(C130)-$B$4*COS((($B$3+$B$4)/$B$4)*C130)</f>
        <v>-17.008674871143175</v>
      </c>
      <c r="E130" s="9">
        <f>($B$3+$B$4)*SIN(C130)-$B$4*SIN((($B$3+$B$4)/$B$4)*C130)</f>
        <v>29.689233611099503</v>
      </c>
      <c r="F130" s="5"/>
      <c r="G130" s="5"/>
      <c r="H130" s="5"/>
    </row>
    <row r="131" spans="1:8" x14ac:dyDescent="0.3">
      <c r="A131" s="9">
        <f>ROW()-ROW($A$14)</f>
        <v>117</v>
      </c>
      <c r="B131" s="9">
        <f>IF(A131&lt;=$B$8,$B$6+(A131-1)*($B$7-$B$6)/MAX(1,$B$8-1),NA())</f>
        <v>116</v>
      </c>
      <c r="C131" s="9">
        <f>RADIANS(B131)</f>
        <v>2.0245819323134224</v>
      </c>
      <c r="D131" s="9">
        <f>($B$3+$B$4)*COS(C131)-$B$4*COS((($B$3+$B$4)/$B$4)*C131)</f>
        <v>-17.71886169188533</v>
      </c>
      <c r="E131" s="9">
        <f>($B$3+$B$4)*SIN(C131)-$B$4*SIN((($B$3+$B$4)/$B$4)*C131)</f>
        <v>28.997504604354003</v>
      </c>
      <c r="F131" s="5"/>
      <c r="G131" s="5"/>
      <c r="H131" s="5"/>
    </row>
    <row r="132" spans="1:8" x14ac:dyDescent="0.3">
      <c r="A132" s="9">
        <f>ROW()-ROW($A$14)</f>
        <v>118</v>
      </c>
      <c r="B132" s="9">
        <f>IF(A132&lt;=$B$8,$B$6+(A132-1)*($B$7-$B$6)/MAX(1,$B$8-1),NA())</f>
        <v>117</v>
      </c>
      <c r="C132" s="9">
        <f>RADIANS(B132)</f>
        <v>2.0420352248333655</v>
      </c>
      <c r="D132" s="9">
        <f>($B$3+$B$4)*COS(C132)-$B$4*COS((($B$3+$B$4)/$B$4)*C132)</f>
        <v>-18.374997573662167</v>
      </c>
      <c r="E132" s="9">
        <f>($B$3+$B$4)*SIN(C132)-$B$4*SIN((($B$3+$B$4)/$B$4)*C132)</f>
        <v>28.275280697525776</v>
      </c>
      <c r="F132" s="5"/>
      <c r="G132" s="5"/>
      <c r="H132" s="5"/>
    </row>
    <row r="133" spans="1:8" x14ac:dyDescent="0.3">
      <c r="A133" s="9">
        <f>ROW()-ROW($A$14)</f>
        <v>119</v>
      </c>
      <c r="B133" s="9">
        <f>IF(A133&lt;=$B$8,$B$6+(A133-1)*($B$7-$B$6)/MAX(1,$B$8-1),NA())</f>
        <v>118</v>
      </c>
      <c r="C133" s="9">
        <f>RADIANS(B133)</f>
        <v>2.0594885173533091</v>
      </c>
      <c r="D133" s="9">
        <f>($B$3+$B$4)*COS(C133)-$B$4*COS((($B$3+$B$4)/$B$4)*C133)</f>
        <v>-18.974884887245757</v>
      </c>
      <c r="E133" s="9">
        <f>($B$3+$B$4)*SIN(C133)-$B$4*SIN((($B$3+$B$4)/$B$4)*C133)</f>
        <v>27.527986239856595</v>
      </c>
      <c r="F133" s="5"/>
      <c r="G133" s="5"/>
      <c r="H133" s="5"/>
    </row>
    <row r="134" spans="1:8" x14ac:dyDescent="0.3">
      <c r="A134" s="9">
        <f>ROW()-ROW($A$14)</f>
        <v>120</v>
      </c>
      <c r="B134" s="9">
        <f>IF(A134&lt;=$B$8,$B$6+(A134-1)*($B$7-$B$6)/MAX(1,$B$8-1),NA())</f>
        <v>119</v>
      </c>
      <c r="C134" s="9">
        <f>RADIANS(B134)</f>
        <v>2.0769418098732522</v>
      </c>
      <c r="D134" s="9">
        <f>($B$3+$B$4)*COS(C134)-$B$4*COS((($B$3+$B$4)/$B$4)*C134)</f>
        <v>-19.516898084231475</v>
      </c>
      <c r="E134" s="9">
        <f>($B$3+$B$4)*SIN(C134)-$B$4*SIN((($B$3+$B$4)/$B$4)*C134)</f>
        <v>26.761233530520151</v>
      </c>
      <c r="F134" s="5"/>
      <c r="G134" s="5"/>
      <c r="H134" s="5"/>
    </row>
    <row r="135" spans="1:8" x14ac:dyDescent="0.3">
      <c r="A135" s="9">
        <f>ROW()-ROW($A$14)</f>
        <v>121</v>
      </c>
      <c r="B135" s="9">
        <f>IF(A135&lt;=$B$8,$B$6+(A135-1)*($B$7-$B$6)/MAX(1,$B$8-1),NA())</f>
        <v>120</v>
      </c>
      <c r="C135" s="9">
        <f>RADIANS(B135)</f>
        <v>2.0943951023931953</v>
      </c>
      <c r="D135" s="9">
        <f>($B$3+$B$4)*COS(C135)-$B$4*COS((($B$3+$B$4)/$B$4)*C135)</f>
        <v>-19.999999999999993</v>
      </c>
      <c r="E135" s="9">
        <f>($B$3+$B$4)*SIN(C135)-$B$4*SIN((($B$3+$B$4)/$B$4)*C135)</f>
        <v>25.980762113533164</v>
      </c>
      <c r="F135" s="5"/>
      <c r="G135" s="5"/>
      <c r="H135" s="5"/>
    </row>
    <row r="136" spans="1:8" x14ac:dyDescent="0.3">
      <c r="A136" s="9">
        <f>ROW()-ROW($A$14)</f>
        <v>122</v>
      </c>
      <c r="B136" s="9">
        <f>IF(A136&lt;=$B$8,$B$6+(A136-1)*($B$7-$B$6)/MAX(1,$B$8-1),NA())</f>
        <v>121</v>
      </c>
      <c r="C136" s="9">
        <f>RADIANS(B136)</f>
        <v>2.1118483949131388</v>
      </c>
      <c r="D136" s="9">
        <f>($B$3+$B$4)*COS(C136)-$B$4*COS((($B$3+$B$4)/$B$4)*C136)</f>
        <v>-20.423751724142996</v>
      </c>
      <c r="E136" s="9">
        <f>($B$3+$B$4)*SIN(C136)-$B$4*SIN((($B$3+$B$4)/$B$4)*C136)</f>
        <v>25.192376704725103</v>
      </c>
      <c r="F136" s="5"/>
      <c r="G136" s="5"/>
      <c r="H136" s="5"/>
    </row>
    <row r="137" spans="1:8" x14ac:dyDescent="0.3">
      <c r="A137" s="9">
        <f>ROW()-ROW($A$14)</f>
        <v>123</v>
      </c>
      <c r="B137" s="9">
        <f>IF(A137&lt;=$B$8,$B$6+(A137-1)*($B$7-$B$6)/MAX(1,$B$8-1),NA())</f>
        <v>122</v>
      </c>
      <c r="C137" s="9">
        <f>RADIANS(B137)</f>
        <v>2.1293016874330819</v>
      </c>
      <c r="D137" s="9">
        <f>($B$3+$B$4)*COS(C137)-$B$4*COS((($B$3+$B$4)/$B$4)*C137)</f>
        <v>-20.788315930665174</v>
      </c>
      <c r="E137" s="9">
        <f>($B$3+$B$4)*SIN(C137)-$B$4*SIN((($B$3+$B$4)/$B$4)*C137)</f>
        <v>24.401884430603992</v>
      </c>
      <c r="F137" s="5"/>
      <c r="G137" s="5"/>
      <c r="H137" s="5"/>
    </row>
    <row r="138" spans="1:8" x14ac:dyDescent="0.3">
      <c r="A138" s="9">
        <f>ROW()-ROW($A$14)</f>
        <v>124</v>
      </c>
      <c r="B138" s="9">
        <f>IF(A138&lt;=$B$8,$B$6+(A138-1)*($B$7-$B$6)/MAX(1,$B$8-1),NA())</f>
        <v>123</v>
      </c>
      <c r="C138" s="9">
        <f>RADIANS(B138)</f>
        <v>2.1467549799530254</v>
      </c>
      <c r="D138" s="9">
        <f>($B$3+$B$4)*COS(C138)-$B$4*COS((($B$3+$B$4)/$B$4)*C138)</f>
        <v>-21.094453631926577</v>
      </c>
      <c r="E138" s="9">
        <f>($B$3+$B$4)*SIN(C138)-$B$4*SIN((($B$3+$B$4)/$B$4)*C138)</f>
        <v>23.615032066487974</v>
      </c>
      <c r="F138" s="5"/>
      <c r="G138" s="5"/>
      <c r="H138" s="5"/>
    </row>
    <row r="139" spans="1:8" x14ac:dyDescent="0.3">
      <c r="A139" s="9">
        <f>ROW()-ROW($A$14)</f>
        <v>125</v>
      </c>
      <c r="B139" s="9">
        <f>IF(A139&lt;=$B$8,$B$6+(A139-1)*($B$7-$B$6)/MAX(1,$B$8-1),NA())</f>
        <v>124</v>
      </c>
      <c r="C139" s="9">
        <f>RADIANS(B139)</f>
        <v>2.1642082724729685</v>
      </c>
      <c r="D139" s="9">
        <f>($B$3+$B$4)*COS(C139)-$B$4*COS((($B$3+$B$4)/$B$4)*C139)</f>
        <v>-21.343514392335408</v>
      </c>
      <c r="E139" s="9">
        <f>($B$3+$B$4)*SIN(C139)-$B$4*SIN((($B$3+$B$4)/$B$4)*C139)</f>
        <v>22.83744396127226</v>
      </c>
      <c r="F139" s="5"/>
      <c r="G139" s="5"/>
      <c r="H139" s="5"/>
    </row>
    <row r="140" spans="1:8" x14ac:dyDescent="0.3">
      <c r="A140" s="9">
        <f>ROW()-ROW($A$14)</f>
        <v>126</v>
      </c>
      <c r="B140" s="9">
        <f>IF(A140&lt;=$B$8,$B$6+(A140-1)*($B$7-$B$6)/MAX(1,$B$8-1),NA())</f>
        <v>125</v>
      </c>
      <c r="C140" s="9">
        <f>RADIANS(B140)</f>
        <v>2.1816615649929121</v>
      </c>
      <c r="D140" s="9">
        <f>($B$3+$B$4)*COS(C140)-$B$4*COS((($B$3+$B$4)/$B$4)*C140)</f>
        <v>-21.537420109453574</v>
      </c>
      <c r="E140" s="9">
        <f>($B$3+$B$4)*SIN(C140)-$B$4*SIN((($B$3+$B$4)/$B$4)*C140)</f>
        <v>22.074561328669748</v>
      </c>
      <c r="F140" s="5"/>
      <c r="G140" s="5"/>
      <c r="H140" s="5"/>
    </row>
    <row r="141" spans="1:8" x14ac:dyDescent="0.3">
      <c r="A141" s="9">
        <f>ROW()-ROW($A$14)</f>
        <v>127</v>
      </c>
      <c r="B141" s="9">
        <f>IF(A141&lt;=$B$8,$B$6+(A141-1)*($B$7-$B$6)/MAX(1,$B$8-1),NA())</f>
        <v>126</v>
      </c>
      <c r="C141" s="9">
        <f>RADIANS(B141)</f>
        <v>2.1991148575128552</v>
      </c>
      <c r="D141" s="9">
        <f>($B$3+$B$4)*COS(C141)-$B$4*COS((($B$3+$B$4)/$B$4)*C141)</f>
        <v>-21.67864254064893</v>
      </c>
      <c r="E141" s="9">
        <f>($B$3+$B$4)*SIN(C141)-$B$4*SIN((($B$3+$B$4)/$B$4)*C141)</f>
        <v>21.331583569786062</v>
      </c>
      <c r="F141" s="5"/>
      <c r="G141" s="5"/>
      <c r="H141" s="5"/>
    </row>
    <row r="142" spans="1:8" x14ac:dyDescent="0.3">
      <c r="A142" s="9">
        <f>ROW()-ROW($A$14)</f>
        <v>128</v>
      </c>
      <c r="B142" s="9">
        <f>IF(A142&lt;=$B$8,$B$6+(A142-1)*($B$7-$B$6)/MAX(1,$B$8-1),NA())</f>
        <v>127</v>
      </c>
      <c r="C142" s="9">
        <f>RADIANS(B142)</f>
        <v>2.2165681500327987</v>
      </c>
      <c r="D142" s="9">
        <f>($B$3+$B$4)*COS(C142)-$B$4*COS((($B$3+$B$4)/$B$4)*C142)</f>
        <v>-21.770174821948423</v>
      </c>
      <c r="E142" s="9">
        <f>($B$3+$B$4)*SIN(C142)-$B$4*SIN((($B$3+$B$4)/$B$4)*C142)</f>
        <v>20.61341226962449</v>
      </c>
      <c r="F142" s="5"/>
      <c r="G142" s="5"/>
      <c r="H142" s="5"/>
    </row>
    <row r="143" spans="1:8" x14ac:dyDescent="0.3">
      <c r="A143" s="9">
        <f>ROW()-ROW($A$14)</f>
        <v>129</v>
      </c>
      <c r="B143" s="9">
        <f>IF(A143&lt;=$B$8,$B$6+(A143-1)*($B$7-$B$6)/MAX(1,$B$8-1),NA())</f>
        <v>128</v>
      </c>
      <c r="C143" s="9">
        <f>RADIANS(B143)</f>
        <v>2.2340214425527418</v>
      </c>
      <c r="D143" s="9">
        <f>($B$3+$B$4)*COS(C143)-$B$4*COS((($B$3+$B$4)/$B$4)*C143)</f>
        <v>-21.815497291564036</v>
      </c>
      <c r="E143" s="9">
        <f>($B$3+$B$4)*SIN(C143)-$B$4*SIN((($B$3+$B$4)/$B$4)*C143)</f>
        <v>19.924598480814687</v>
      </c>
      <c r="F143" s="5"/>
      <c r="G143" s="5"/>
      <c r="H143" s="5"/>
    </row>
    <row r="144" spans="1:8" x14ac:dyDescent="0.3">
      <c r="A144" s="9">
        <f>ROW()-ROW($A$14)</f>
        <v>130</v>
      </c>
      <c r="B144" s="9">
        <f>IF(A144&lt;=$B$8,$B$6+(A144-1)*($B$7-$B$6)/MAX(1,$B$8-1),NA())</f>
        <v>129</v>
      </c>
      <c r="C144" s="9">
        <f>RADIANS(B144)</f>
        <v>2.2514747350726849</v>
      </c>
      <c r="D144" s="9">
        <f>($B$3+$B$4)*COS(C144)-$B$4*COS((($B$3+$B$4)/$B$4)*C144)</f>
        <v>-21.818537992957491</v>
      </c>
      <c r="E144" s="9">
        <f>($B$3+$B$4)*SIN(C144)-$B$4*SIN((($B$3+$B$4)/$B$4)*C144)</f>
        <v>19.2692938718344</v>
      </c>
      <c r="F144" s="5"/>
      <c r="G144" s="5"/>
      <c r="H144" s="5"/>
    </row>
    <row r="145" spans="1:8" x14ac:dyDescent="0.3">
      <c r="A145" s="9">
        <f>ROW()-ROW($A$14)</f>
        <v>131</v>
      </c>
      <c r="B145" s="9">
        <f>IF(A145&lt;=$B$8,$B$6+(A145-1)*($B$7-$B$6)/MAX(1,$B$8-1),NA())</f>
        <v>130</v>
      </c>
      <c r="C145" s="9">
        <f>RADIANS(B145)</f>
        <v>2.2689280275926285</v>
      </c>
      <c r="D145" s="9">
        <f>($B$3+$B$4)*COS(C145)-$B$4*COS((($B$3+$B$4)/$B$4)*C145)</f>
        <v>-21.78362829059618</v>
      </c>
      <c r="E145" s="9">
        <f>($B$3+$B$4)*SIN(C145)-$B$4*SIN((($B$3+$B$4)/$B$4)*C145)</f>
        <v>18.651206274647144</v>
      </c>
      <c r="F145" s="5"/>
      <c r="G145" s="5"/>
      <c r="H145" s="5"/>
    </row>
    <row r="146" spans="1:8" x14ac:dyDescent="0.3">
      <c r="A146" s="9">
        <f>ROW()-ROW($A$14)</f>
        <v>132</v>
      </c>
      <c r="B146" s="9">
        <f>IF(A146&lt;=$B$8,$B$6+(A146-1)*($B$7-$B$6)/MAX(1,$B$8-1),NA())</f>
        <v>131</v>
      </c>
      <c r="C146" s="9">
        <f>RADIANS(B146)</f>
        <v>2.2863813201125716</v>
      </c>
      <c r="D146" s="9">
        <f>($B$3+$B$4)*COS(C146)-$B$4*COS((($B$3+$B$4)/$B$4)*C146)</f>
        <v>-21.715454085094223</v>
      </c>
      <c r="E146" s="9">
        <f>($B$3+$B$4)*SIN(C146)-$B$4*SIN((($B$3+$B$4)/$B$4)*C146)</f>
        <v>18.073560118470159</v>
      </c>
      <c r="F146" s="5"/>
      <c r="G146" s="5"/>
      <c r="H146" s="5"/>
    </row>
    <row r="147" spans="1:8" x14ac:dyDescent="0.3">
      <c r="A147" s="9">
        <f>ROW()-ROW($A$14)</f>
        <v>133</v>
      </c>
      <c r="B147" s="9">
        <f>IF(A147&lt;=$B$8,$B$6+(A147-1)*($B$7-$B$6)/MAX(1,$B$8-1),NA())</f>
        <v>132</v>
      </c>
      <c r="C147" s="9">
        <f>RADIANS(B147)</f>
        <v>2.3038346126325151</v>
      </c>
      <c r="D147" s="9">
        <f>($B$3+$B$4)*COS(C147)-$B$4*COS((($B$3+$B$4)/$B$4)*C147)</f>
        <v>-21.619003162640485</v>
      </c>
      <c r="E147" s="9">
        <f>($B$3+$B$4)*SIN(C147)-$B$4*SIN((($B$3+$B$4)/$B$4)*C147)</f>
        <v>17.53906218284606</v>
      </c>
      <c r="F147" s="5"/>
      <c r="G147" s="5"/>
      <c r="H147" s="5"/>
    </row>
    <row r="148" spans="1:8" x14ac:dyDescent="0.3">
      <c r="A148" s="9">
        <f>ROW()-ROW($A$14)</f>
        <v>134</v>
      </c>
      <c r="B148" s="9">
        <f>IF(A148&lt;=$B$8,$B$6+(A148-1)*($B$7-$B$6)/MAX(1,$B$8-1),NA())</f>
        <v>133</v>
      </c>
      <c r="C148" s="9">
        <f>RADIANS(B148)</f>
        <v>2.3212879051524582</v>
      </c>
      <c r="D148" s="9">
        <f>($B$3+$B$4)*COS(C148)-$B$4*COS((($B$3+$B$4)/$B$4)*C148)</f>
        <v>-21.499509255963744</v>
      </c>
      <c r="E148" s="9">
        <f>($B$3+$B$4)*SIN(C148)-$B$4*SIN((($B$3+$B$4)/$B$4)*C148)</f>
        <v>17.049873044906089</v>
      </c>
      <c r="F148" s="5"/>
      <c r="G148" s="5"/>
      <c r="H148" s="5"/>
    </row>
    <row r="149" spans="1:8" x14ac:dyDescent="0.3">
      <c r="A149" s="9">
        <f>ROW()-ROW($A$14)</f>
        <v>135</v>
      </c>
      <c r="B149" s="9">
        <f>IF(A149&lt;=$B$8,$B$6+(A149-1)*($B$7-$B$6)/MAX(1,$B$8-1),NA())</f>
        <v>134</v>
      </c>
      <c r="C149" s="9">
        <f>RADIANS(B149)</f>
        <v>2.3387411976724017</v>
      </c>
      <c r="D149" s="9">
        <f>($B$3+$B$4)*COS(C149)-$B$4*COS((($B$3+$B$4)/$B$4)*C149)</f>
        <v>-21.362393430108185</v>
      </c>
      <c r="E149" s="9">
        <f>($B$3+$B$4)*SIN(C149)-$B$4*SIN((($B$3+$B$4)/$B$4)*C149)</f>
        <v>16.607584533318164</v>
      </c>
      <c r="F149" s="5"/>
      <c r="G149" s="5"/>
      <c r="H149" s="5"/>
    </row>
    <row r="150" spans="1:8" x14ac:dyDescent="0.3">
      <c r="A150" s="9">
        <f>ROW()-ROW($A$14)</f>
        <v>136</v>
      </c>
      <c r="B150" s="9">
        <f>IF(A150&lt;=$B$8,$B$6+(A150-1)*($B$7-$B$6)/MAX(1,$B$8-1),NA())</f>
        <v>135</v>
      </c>
      <c r="C150" s="9">
        <f>RADIANS(B150)</f>
        <v>2.3561944901923448</v>
      </c>
      <c r="D150" s="9">
        <f>($B$3+$B$4)*COS(C150)-$B$4*COS((($B$3+$B$4)/$B$4)*C150)</f>
        <v>-21.213203435596427</v>
      </c>
      <c r="E150" s="9">
        <f>($B$3+$B$4)*SIN(C150)-$B$4*SIN((($B$3+$B$4)/$B$4)*C150)</f>
        <v>16.213203435596427</v>
      </c>
      <c r="F150" s="5"/>
      <c r="G150" s="5"/>
      <c r="H150" s="5"/>
    </row>
    <row r="151" spans="1:8" x14ac:dyDescent="0.3">
      <c r="A151" s="9">
        <f>ROW()-ROW($A$14)</f>
        <v>137</v>
      </c>
      <c r="B151" s="9">
        <f>IF(A151&lt;=$B$8,$B$6+(A151-1)*($B$7-$B$6)/MAX(1,$B$8-1),NA())</f>
        <v>136</v>
      </c>
      <c r="C151" s="9">
        <f>RADIANS(B151)</f>
        <v>2.3736477827122884</v>
      </c>
      <c r="D151" s="9">
        <f>($B$3+$B$4)*COS(C151)-$B$4*COS((($B$3+$B$4)/$B$4)*C151)</f>
        <v>-21.057551693821257</v>
      </c>
      <c r="E151" s="9">
        <f>($B$3+$B$4)*SIN(C151)-$B$4*SIN((($B$3+$B$4)/$B$4)*C151)</f>
        <v>15.867141636928547</v>
      </c>
      <c r="F151" s="5"/>
      <c r="G151" s="5"/>
      <c r="H151" s="5"/>
    </row>
    <row r="152" spans="1:8" x14ac:dyDescent="0.3">
      <c r="A152" s="9">
        <f>ROW()-ROW($A$14)</f>
        <v>138</v>
      </c>
      <c r="B152" s="9">
        <f>IF(A152&lt;=$B$8,$B$6+(A152-1)*($B$7-$B$6)/MAX(1,$B$8-1),NA())</f>
        <v>137</v>
      </c>
      <c r="C152" s="9">
        <f>RADIANS(B152)</f>
        <v>2.3911010752322315</v>
      </c>
      <c r="D152" s="9">
        <f>($B$3+$B$4)*COS(C152)-$B$4*COS((($B$3+$B$4)/$B$4)*C152)</f>
        <v>-20.901052594486323</v>
      </c>
      <c r="E152" s="9">
        <f>($B$3+$B$4)*SIN(C152)-$B$4*SIN((($B$3+$B$4)/$B$4)*C152)</f>
        <v>15.569212798205928</v>
      </c>
      <c r="F152" s="5"/>
      <c r="G152" s="5"/>
      <c r="H152" s="5"/>
    </row>
    <row r="153" spans="1:8" x14ac:dyDescent="0.3">
      <c r="A153" s="9">
        <f>ROW()-ROW($A$14)</f>
        <v>139</v>
      </c>
      <c r="B153" s="9">
        <f>IF(A153&lt;=$B$8,$B$6+(A153-1)*($B$7-$B$6)/MAX(1,$B$8-1),NA())</f>
        <v>138</v>
      </c>
      <c r="C153" s="9">
        <f>RADIANS(B153)</f>
        <v>2.4085543677521746</v>
      </c>
      <c r="D153" s="9">
        <f>($B$3+$B$4)*COS(C153)-$B$4*COS((($B$3+$B$4)/$B$4)*C153)</f>
        <v>-20.749259792447084</v>
      </c>
      <c r="E153" s="9">
        <f>($B$3+$B$4)*SIN(C153)-$B$4*SIN((($B$3+$B$4)/$B$4)*C153)</f>
        <v>15.318635609289981</v>
      </c>
      <c r="F153" s="5"/>
      <c r="G153" s="5"/>
      <c r="H153" s="5"/>
    </row>
    <row r="154" spans="1:8" x14ac:dyDescent="0.3">
      <c r="A154" s="9">
        <f>ROW()-ROW($A$14)</f>
        <v>140</v>
      </c>
      <c r="B154" s="9">
        <f>IF(A154&lt;=$B$8,$B$6+(A154-1)*($B$7-$B$6)/MAX(1,$B$8-1),NA())</f>
        <v>139</v>
      </c>
      <c r="C154" s="9">
        <f>RADIANS(B154)</f>
        <v>2.4260076602721181</v>
      </c>
      <c r="D154" s="9">
        <f>($B$3+$B$4)*COS(C154)-$B$4*COS((($B$3+$B$4)/$B$4)*C154)</f>
        <v>-20.607604191304162</v>
      </c>
      <c r="E154" s="9">
        <f>($B$3+$B$4)*SIN(C154)-$B$4*SIN((($B$3+$B$4)/$B$4)*C154)</f>
        <v>15.114043581502216</v>
      </c>
      <c r="F154" s="5"/>
      <c r="G154" s="5"/>
      <c r="H154" s="5"/>
    </row>
    <row r="155" spans="1:8" x14ac:dyDescent="0.3">
      <c r="A155" s="9">
        <f>ROW()-ROW($A$14)</f>
        <v>141</v>
      </c>
      <c r="B155" s="9">
        <f>IF(A155&lt;=$B$8,$B$6+(A155-1)*($B$7-$B$6)/MAX(1,$B$8-1),NA())</f>
        <v>140</v>
      </c>
      <c r="C155" s="9">
        <f>RADIANS(B155)</f>
        <v>2.4434609527920612</v>
      </c>
      <c r="D155" s="9">
        <f>($B$3+$B$4)*COS(C155)-$B$4*COS((($B$3+$B$4)/$B$4)*C155)</f>
        <v>-20.481333293569339</v>
      </c>
      <c r="E155" s="9">
        <f>($B$3+$B$4)*SIN(C155)-$B$4*SIN((($B$3+$B$4)/$B$4)*C155)</f>
        <v>14.953501271673987</v>
      </c>
      <c r="F155" s="5"/>
      <c r="G155" s="5"/>
      <c r="H155" s="5"/>
    </row>
    <row r="156" spans="1:8" x14ac:dyDescent="0.3">
      <c r="A156" s="9">
        <f>ROW()-ROW($A$14)</f>
        <v>142</v>
      </c>
      <c r="B156" s="9">
        <f>IF(A156&lt;=$B$8,$B$6+(A156-1)*($B$7-$B$6)/MAX(1,$B$8-1),NA())</f>
        <v>141</v>
      </c>
      <c r="C156" s="9">
        <f>RADIANS(B156)</f>
        <v>2.4609142453120048</v>
      </c>
      <c r="D156" s="9">
        <f>($B$3+$B$4)*COS(C156)-$B$4*COS((($B$3+$B$4)/$B$4)*C156)</f>
        <v>-20.375452582246758</v>
      </c>
      <c r="E156" s="9">
        <f>($B$3+$B$4)*SIN(C156)-$B$4*SIN((($B$3+$B$4)/$B$4)*C156)</f>
        <v>14.834526759620388</v>
      </c>
      <c r="F156" s="5"/>
      <c r="G156" s="5"/>
      <c r="H156" s="5"/>
    </row>
    <row r="157" spans="1:8" x14ac:dyDescent="0.3">
      <c r="A157" s="9">
        <f>ROW()-ROW($A$14)</f>
        <v>143</v>
      </c>
      <c r="B157" s="9">
        <f>IF(A157&lt;=$B$8,$B$6+(A157-1)*($B$7-$B$6)/MAX(1,$B$8-1),NA())</f>
        <v>142</v>
      </c>
      <c r="C157" s="9">
        <f>RADIANS(B157)</f>
        <v>2.4783675378319479</v>
      </c>
      <c r="D157" s="9">
        <f>($B$3+$B$4)*COS(C157)-$B$4*COS((($B$3+$B$4)/$B$4)*C157)</f>
        <v>-20.294669576407372</v>
      </c>
      <c r="E157" s="9">
        <f>($B$3+$B$4)*SIN(C157)-$B$4*SIN((($B$3+$B$4)/$B$4)*C157)</f>
        <v>14.754120132382774</v>
      </c>
      <c r="F157" s="5"/>
      <c r="G157" s="5"/>
      <c r="H157" s="5"/>
    </row>
    <row r="158" spans="1:8" x14ac:dyDescent="0.3">
      <c r="A158" s="9">
        <f>ROW()-ROW($A$14)</f>
        <v>144</v>
      </c>
      <c r="B158" s="9">
        <f>IF(A158&lt;=$B$8,$B$6+(A158-1)*($B$7-$B$6)/MAX(1,$B$8-1),NA())</f>
        <v>143</v>
      </c>
      <c r="C158" s="9">
        <f>RADIANS(B158)</f>
        <v>2.4958208303518914</v>
      </c>
      <c r="D158" s="9">
        <f>($B$3+$B$4)*COS(C158)-$B$4*COS((($B$3+$B$4)/$B$4)*C158)</f>
        <v>-20.243341174031816</v>
      </c>
      <c r="E158" s="9">
        <f>($B$3+$B$4)*SIN(C158)-$B$4*SIN((($B$3+$B$4)/$B$4)*C158)</f>
        <v>14.708797662767157</v>
      </c>
      <c r="F158" s="5"/>
      <c r="G158" s="5"/>
      <c r="H158" s="5"/>
    </row>
    <row r="159" spans="1:8" x14ac:dyDescent="0.3">
      <c r="A159" s="9">
        <f>ROW()-ROW($A$14)</f>
        <v>145</v>
      </c>
      <c r="B159" s="9">
        <f>IF(A159&lt;=$B$8,$B$6+(A159-1)*($B$7-$B$6)/MAX(1,$B$8-1),NA())</f>
        <v>144</v>
      </c>
      <c r="C159" s="9">
        <f>RADIANS(B159)</f>
        <v>2.5132741228718345</v>
      </c>
      <c r="D159" s="9">
        <f>($B$3+$B$4)*COS(C159)-$B$4*COS((($B$3+$B$4)/$B$4)*C159)</f>
        <v>-20.225424859373685</v>
      </c>
      <c r="E159" s="9">
        <f>($B$3+$B$4)*SIN(C159)-$B$4*SIN((($B$3+$B$4)/$B$4)*C159)</f>
        <v>14.69463130731183</v>
      </c>
      <c r="F159" s="5"/>
      <c r="G159" s="5"/>
      <c r="H159" s="5"/>
    </row>
    <row r="160" spans="1:8" x14ac:dyDescent="0.3">
      <c r="A160" s="9">
        <f>ROW()-ROW($A$14)</f>
        <v>146</v>
      </c>
      <c r="B160" s="9">
        <f>IF(A160&lt;=$B$8,$B$6+(A160-1)*($B$7-$B$6)/MAX(1,$B$8-1),NA())</f>
        <v>145</v>
      </c>
      <c r="C160" s="9">
        <f>RADIANS(B160)</f>
        <v>2.530727415391778</v>
      </c>
      <c r="D160" s="9">
        <f>($B$3+$B$4)*COS(C160)-$B$4*COS((($B$3+$B$4)/$B$4)*C160)</f>
        <v>-20.244434309747568</v>
      </c>
      <c r="E160" s="9">
        <f>($B$3+$B$4)*SIN(C160)-$B$4*SIN((($B$3+$B$4)/$B$4)*C160)</f>
        <v>14.70729309053138</v>
      </c>
      <c r="F160" s="5"/>
      <c r="G160" s="5"/>
      <c r="H160" s="5"/>
    </row>
    <row r="161" spans="1:8" x14ac:dyDescent="0.3">
      <c r="A161" s="9">
        <f>ROW()-ROW($A$14)</f>
        <v>147</v>
      </c>
      <c r="B161" s="9">
        <f>IF(A161&lt;=$B$8,$B$6+(A161-1)*($B$7-$B$6)/MAX(1,$B$8-1),NA())</f>
        <v>146</v>
      </c>
      <c r="C161" s="9">
        <f>RADIANS(B161)</f>
        <v>2.5481807079117211</v>
      </c>
      <c r="D161" s="9">
        <f>($B$3+$B$4)*COS(C161)-$B$4*COS((($B$3+$B$4)/$B$4)*C161)</f>
        <v>-20.303399888438243</v>
      </c>
      <c r="E161" s="9">
        <f>($B$3+$B$4)*SIN(C161)-$B$4*SIN((($B$3+$B$4)/$B$4)*C161)</f>
        <v>14.74210388874341</v>
      </c>
      <c r="F161" s="5"/>
      <c r="G161" s="5"/>
      <c r="H161" s="5"/>
    </row>
    <row r="162" spans="1:8" x14ac:dyDescent="0.3">
      <c r="A162" s="9">
        <f>ROW()-ROW($A$14)</f>
        <v>148</v>
      </c>
      <c r="B162" s="9">
        <f>IF(A162&lt;=$B$8,$B$6+(A162-1)*($B$7-$B$6)/MAX(1,$B$8-1),NA())</f>
        <v>147</v>
      </c>
      <c r="C162" s="9">
        <f>RADIANS(B162)</f>
        <v>2.5656340004316642</v>
      </c>
      <c r="D162" s="9">
        <f>($B$3+$B$4)*COS(C162)-$B$4*COS((($B$3+$B$4)/$B$4)*C162)</f>
        <v>-20.404834456886952</v>
      </c>
      <c r="E162" s="9">
        <f>($B$3+$B$4)*SIN(C162)-$B$4*SIN((($B$3+$B$4)/$B$4)*C162)</f>
        <v>14.79408607857607</v>
      </c>
      <c r="F162" s="5"/>
      <c r="G162" s="5"/>
      <c r="H162" s="5"/>
    </row>
    <row r="163" spans="1:8" x14ac:dyDescent="0.3">
      <c r="A163" s="9">
        <f>ROW()-ROW($A$14)</f>
        <v>149</v>
      </c>
      <c r="B163" s="9">
        <f>IF(A163&lt;=$B$8,$B$6+(A163-1)*($B$7-$B$6)/MAX(1,$B$8-1),NA())</f>
        <v>148</v>
      </c>
      <c r="C163" s="9">
        <f>RADIANS(B163)</f>
        <v>2.5830872929516078</v>
      </c>
      <c r="D163" s="9">
        <f>($B$3+$B$4)*COS(C163)-$B$4*COS((($B$3+$B$4)/$B$4)*C163)</f>
        <v>-20.550704881023751</v>
      </c>
      <c r="E163" s="9">
        <f>($B$3+$B$4)*SIN(C163)-$B$4*SIN((($B$3+$B$4)/$B$4)*C163)</f>
        <v>14.858019472907351</v>
      </c>
      <c r="F163" s="5"/>
      <c r="G163" s="5"/>
      <c r="H163" s="5"/>
    </row>
    <row r="164" spans="1:8" x14ac:dyDescent="0.3">
      <c r="A164" s="9">
        <f>ROW()-ROW($A$14)</f>
        <v>150</v>
      </c>
      <c r="B164" s="9">
        <f>IF(A164&lt;=$B$8,$B$6+(A164-1)*($B$7-$B$6)/MAX(1,$B$8-1),NA())</f>
        <v>149</v>
      </c>
      <c r="C164" s="9">
        <f>RADIANS(B164)</f>
        <v>2.6005405854715509</v>
      </c>
      <c r="D164" s="9">
        <f>($B$3+$B$4)*COS(C164)-$B$4*COS((($B$3+$B$4)/$B$4)*C164)</f>
        <v>-20.742409544221999</v>
      </c>
      <c r="E164" s="9">
        <f>($B$3+$B$4)*SIN(C164)-$B$4*SIN((($B$3+$B$4)/$B$4)*C164)</f>
        <v>14.928499930963357</v>
      </c>
      <c r="F164" s="5"/>
      <c r="G164" s="5"/>
      <c r="H164" s="5"/>
    </row>
    <row r="165" spans="1:8" x14ac:dyDescent="0.3">
      <c r="A165" s="9">
        <f>ROW()-ROW($A$14)</f>
        <v>151</v>
      </c>
      <c r="B165" s="9">
        <f>IF(A165&lt;=$B$8,$B$6+(A165-1)*($B$7-$B$6)/MAX(1,$B$8-1),NA())</f>
        <v>150</v>
      </c>
      <c r="C165" s="9">
        <f>RADIANS(B165)</f>
        <v>2.6179938779914944</v>
      </c>
      <c r="D165" s="9">
        <f>($B$3+$B$4)*COS(C165)-$B$4*COS((($B$3+$B$4)/$B$4)*C165)</f>
        <v>-20.98076211353316</v>
      </c>
      <c r="E165" s="9">
        <f>($B$3+$B$4)*SIN(C165)-$B$4*SIN((($B$3+$B$4)/$B$4)*C165)</f>
        <v>14.999999999999995</v>
      </c>
      <c r="F165" s="5"/>
      <c r="G165" s="5"/>
      <c r="H165" s="5"/>
    </row>
    <row r="166" spans="1:8" x14ac:dyDescent="0.3">
      <c r="A166" s="9">
        <f>ROW()-ROW($A$14)</f>
        <v>152</v>
      </c>
      <c r="B166" s="9">
        <f>IF(A166&lt;=$B$8,$B$6+(A166-1)*($B$7-$B$6)/MAX(1,$B$8-1),NA())</f>
        <v>151</v>
      </c>
      <c r="C166" s="9">
        <f>RADIANS(B166)</f>
        <v>2.6354471705114375</v>
      </c>
      <c r="D166" s="9">
        <f>($B$3+$B$4)*COS(C166)-$B$4*COS((($B$3+$B$4)/$B$4)*C166)</f>
        <v>-21.265981737340507</v>
      </c>
      <c r="E166" s="9">
        <f>($B$3+$B$4)*SIN(C166)-$B$4*SIN((($B$3+$B$4)/$B$4)*C166)</f>
        <v>15.066930923728382</v>
      </c>
      <c r="F166" s="5"/>
      <c r="G166" s="5"/>
      <c r="H166" s="5"/>
    </row>
    <row r="167" spans="1:8" x14ac:dyDescent="0.3">
      <c r="A167" s="9">
        <f>ROW()-ROW($A$14)</f>
        <v>153</v>
      </c>
      <c r="B167" s="9">
        <f>IF(A167&lt;=$B$8,$B$6+(A167-1)*($B$7-$B$6)/MAX(1,$B$8-1),NA())</f>
        <v>152</v>
      </c>
      <c r="C167" s="9">
        <f>RADIANS(B167)</f>
        <v>2.6529004630313811</v>
      </c>
      <c r="D167" s="9">
        <f>($B$3+$B$4)*COS(C167)-$B$4*COS((($B$3+$B$4)/$B$4)*C167)</f>
        <v>-21.597689782098783</v>
      </c>
      <c r="E167" s="9">
        <f>($B$3+$B$4)*SIN(C167)-$B$4*SIN((($B$3+$B$4)/$B$4)*C167)</f>
        <v>15.123705337665521</v>
      </c>
      <c r="F167" s="5"/>
      <c r="G167" s="5"/>
      <c r="H167" s="5"/>
    </row>
    <row r="168" spans="1:8" x14ac:dyDescent="0.3">
      <c r="A168" s="9">
        <f>ROW()-ROW($A$14)</f>
        <v>154</v>
      </c>
      <c r="B168" s="9">
        <f>IF(A168&lt;=$B$8,$B$6+(A168-1)*($B$7-$B$6)/MAX(1,$B$8-1),NA())</f>
        <v>153</v>
      </c>
      <c r="C168" s="9">
        <f>RADIANS(B168)</f>
        <v>2.6703537555513241</v>
      </c>
      <c r="D168" s="9">
        <f>($B$3+$B$4)*COS(C168)-$B$4*COS((($B$3+$B$4)/$B$4)*C168)</f>
        <v>-21.974913144175261</v>
      </c>
      <c r="E168" s="9">
        <f>($B$3+$B$4)*SIN(C168)-$B$4*SIN((($B$3+$B$4)/$B$4)*C168)</f>
        <v>15.164799964061132</v>
      </c>
      <c r="F168" s="5"/>
      <c r="G168" s="5"/>
      <c r="H168" s="5"/>
    </row>
    <row r="169" spans="1:8" x14ac:dyDescent="0.3">
      <c r="A169" s="9">
        <f>ROW()-ROW($A$14)</f>
        <v>155</v>
      </c>
      <c r="B169" s="9">
        <f>IF(A169&lt;=$B$8,$B$6+(A169-1)*($B$7-$B$6)/MAX(1,$B$8-1),NA())</f>
        <v>154</v>
      </c>
      <c r="C169" s="9">
        <f>RADIANS(B169)</f>
        <v>2.6878070480712677</v>
      </c>
      <c r="D169" s="9">
        <f>($B$3+$B$4)*COS(C169)-$B$4*COS((($B$3+$B$4)/$B$4)*C169)</f>
        <v>-22.39609410076201</v>
      </c>
      <c r="E169" s="9">
        <f>($B$3+$B$4)*SIN(C169)-$B$4*SIN((($B$3+$B$4)/$B$4)*C169)</f>
        <v>15.184817619051328</v>
      </c>
      <c r="F169" s="5"/>
      <c r="G169" s="5"/>
      <c r="H169" s="5"/>
    </row>
    <row r="170" spans="1:8" x14ac:dyDescent="0.3">
      <c r="A170" s="9">
        <f>ROW()-ROW($A$14)</f>
        <v>156</v>
      </c>
      <c r="B170" s="9">
        <f>IF(A170&lt;=$B$8,$B$6+(A170-1)*($B$7-$B$6)/MAX(1,$B$8-1),NA())</f>
        <v>155</v>
      </c>
      <c r="C170" s="9">
        <f>RADIANS(B170)</f>
        <v>2.7052603405912108</v>
      </c>
      <c r="D170" s="9">
        <f>($B$3+$B$4)*COS(C170)-$B$4*COS((($B$3+$B$4)/$B$4)*C170)</f>
        <v>-22.859106592177305</v>
      </c>
      <c r="E170" s="9">
        <f>($B$3+$B$4)*SIN(C170)-$B$4*SIN((($B$3+$B$4)/$B$4)*C170)</f>
        <v>15.17854785222098</v>
      </c>
      <c r="F170" s="5"/>
      <c r="G170" s="5"/>
      <c r="H170" s="5"/>
    </row>
    <row r="171" spans="1:8" x14ac:dyDescent="0.3">
      <c r="A171" s="9">
        <f>ROW()-ROW($A$14)</f>
        <v>157</v>
      </c>
      <c r="B171" s="9">
        <f>IF(A171&lt;=$B$8,$B$6+(A171-1)*($B$7-$B$6)/MAX(1,$B$8-1),NA())</f>
        <v>156</v>
      </c>
      <c r="C171" s="9">
        <f>RADIANS(B171)</f>
        <v>2.7227136331111539</v>
      </c>
      <c r="D171" s="9">
        <f>($B$3+$B$4)*COS(C171)-$B$4*COS((($B$3+$B$4)/$B$4)*C171)</f>
        <v>-23.361278757403284</v>
      </c>
      <c r="E171" s="9">
        <f>($B$3+$B$4)*SIN(C171)-$B$4*SIN((($B$3+$B$4)/$B$4)*C171)</f>
        <v>15.141025553736377</v>
      </c>
      <c r="F171" s="5"/>
      <c r="G171" s="5"/>
      <c r="H171" s="5"/>
    </row>
    <row r="172" spans="1:8" x14ac:dyDescent="0.3">
      <c r="A172" s="9">
        <f>ROW()-ROW($A$14)</f>
        <v>158</v>
      </c>
      <c r="B172" s="9">
        <f>IF(A172&lt;=$B$8,$B$6+(A172-1)*($B$7-$B$6)/MAX(1,$B$8-1),NA())</f>
        <v>157</v>
      </c>
      <c r="C172" s="9">
        <f>RADIANS(B172)</f>
        <v>2.7401669256310974</v>
      </c>
      <c r="D172" s="9">
        <f>($B$3+$B$4)*COS(C172)-$B$4*COS((($B$3+$B$4)/$B$4)*C172)</f>
        <v>-23.899421476186241</v>
      </c>
      <c r="E172" s="9">
        <f>($B$3+$B$4)*SIN(C172)-$B$4*SIN((($B$3+$B$4)/$B$4)*C172)</f>
        <v>15.067586886472503</v>
      </c>
      <c r="F172" s="5"/>
      <c r="G172" s="5"/>
      <c r="H172" s="5"/>
    </row>
    <row r="173" spans="1:8" x14ac:dyDescent="0.3">
      <c r="A173" s="9">
        <f>ROW()-ROW($A$14)</f>
        <v>159</v>
      </c>
      <c r="B173" s="9">
        <f>IF(A173&lt;=$B$8,$B$6+(A173-1)*($B$7-$B$6)/MAX(1,$B$8-1),NA())</f>
        <v>158</v>
      </c>
      <c r="C173" s="9">
        <f>RADIANS(B173)</f>
        <v>2.7576202181510405</v>
      </c>
      <c r="D173" s="9">
        <f>($B$3+$B$4)*COS(C173)-$B$4*COS((($B$3+$B$4)/$B$4)*C173)</f>
        <v>-24.469862605209332</v>
      </c>
      <c r="E173" s="9">
        <f>($B$3+$B$4)*SIN(C173)-$B$4*SIN((($B$3+$B$4)/$B$4)*C173)</f>
        <v>14.95392192986434</v>
      </c>
      <c r="F173" s="5"/>
      <c r="G173" s="5"/>
      <c r="H173" s="5"/>
    </row>
    <row r="174" spans="1:8" x14ac:dyDescent="0.3">
      <c r="A174" s="9">
        <f>ROW()-ROW($A$14)</f>
        <v>160</v>
      </c>
      <c r="B174" s="9">
        <f>IF(A174&lt;=$B$8,$B$6+(A174-1)*($B$7-$B$6)/MAX(1,$B$8-1),NA())</f>
        <v>159</v>
      </c>
      <c r="C174" s="9">
        <f>RADIANS(B174)</f>
        <v>2.7750735106709841</v>
      </c>
      <c r="D174" s="9">
        <f>($B$3+$B$4)*COS(C174)-$B$4*COS((($B$3+$B$4)/$B$4)*C174)</f>
        <v>-25.068486533453694</v>
      </c>
      <c r="E174" s="9">
        <f>($B$3+$B$4)*SIN(C174)-$B$4*SIN((($B$3+$B$4)/$B$4)*C174)</f>
        <v>14.796123458233748</v>
      </c>
      <c r="F174" s="5"/>
      <c r="G174" s="5"/>
      <c r="H174" s="5"/>
    </row>
    <row r="175" spans="1:8" x14ac:dyDescent="0.3">
      <c r="A175" s="9">
        <f>ROW()-ROW($A$14)</f>
        <v>161</v>
      </c>
      <c r="B175" s="9">
        <f>IF(A175&lt;=$B$8,$B$6+(A175-1)*($B$7-$B$6)/MAX(1,$B$8-1),NA())</f>
        <v>160</v>
      </c>
      <c r="C175" s="9">
        <f>RADIANS(B175)</f>
        <v>2.7925268031909272</v>
      </c>
      <c r="D175" s="9">
        <f>($B$3+$B$4)*COS(C175)-$B$4*COS((($B$3+$B$4)/$B$4)*C175)</f>
        <v>-25.690778623577241</v>
      </c>
      <c r="E175" s="9">
        <f>($B$3+$B$4)*SIN(C175)-$B$4*SIN((($B$3+$B$4)/$B$4)*C175)</f>
        <v>14.590731318692253</v>
      </c>
      <c r="F175" s="5"/>
      <c r="G175" s="5"/>
      <c r="H175" s="5"/>
    </row>
    <row r="176" spans="1:8" x14ac:dyDescent="0.3">
      <c r="A176" s="9">
        <f>ROW()-ROW($A$14)</f>
        <v>162</v>
      </c>
      <c r="B176" s="9">
        <f>IF(A176&lt;=$B$8,$B$6+(A176-1)*($B$7-$B$6)/MAX(1,$B$8-1),NA())</f>
        <v>161</v>
      </c>
      <c r="C176" s="9">
        <f>RADIANS(B176)</f>
        <v>2.8099800957108707</v>
      </c>
      <c r="D176" s="9">
        <f>($B$3+$B$4)*COS(C176)-$B$4*COS((($B$3+$B$4)/$B$4)*C176)</f>
        <v>-26.331874052600515</v>
      </c>
      <c r="E176" s="9">
        <f>($B$3+$B$4)*SIN(C176)-$B$4*SIN((($B$3+$B$4)/$B$4)*C176)</f>
        <v>14.334771921927707</v>
      </c>
      <c r="F176" s="5"/>
      <c r="G176" s="5"/>
      <c r="H176" s="5"/>
    </row>
    <row r="177" spans="1:8" x14ac:dyDescent="0.3">
      <c r="A177" s="9">
        <f>ROW()-ROW($A$14)</f>
        <v>163</v>
      </c>
      <c r="B177" s="9">
        <f>IF(A177&lt;=$B$8,$B$6+(A177-1)*($B$7-$B$6)/MAX(1,$B$8-1),NA())</f>
        <v>162</v>
      </c>
      <c r="C177" s="9">
        <f>RADIANS(B177)</f>
        <v>2.8274333882308138</v>
      </c>
      <c r="D177" s="9">
        <f>($B$3+$B$4)*COS(C177)-$B$4*COS((($B$3+$B$4)/$B$4)*C177)</f>
        <v>-26.986610516979866</v>
      </c>
      <c r="E177" s="9">
        <f>($B$3+$B$4)*SIN(C177)-$B$4*SIN((($B$3+$B$4)/$B$4)*C177)</f>
        <v>14.025792412724194</v>
      </c>
      <c r="F177" s="5"/>
      <c r="G177" s="5"/>
      <c r="H177" s="5"/>
    </row>
    <row r="178" spans="1:8" x14ac:dyDescent="0.3">
      <c r="A178" s="9">
        <f>ROW()-ROW($A$14)</f>
        <v>164</v>
      </c>
      <c r="B178" s="9">
        <f>IF(A178&lt;=$B$8,$B$6+(A178-1)*($B$7-$B$6)/MAX(1,$B$8-1),NA())</f>
        <v>163</v>
      </c>
      <c r="C178" s="9">
        <f>RADIANS(B178)</f>
        <v>2.8448866807507573</v>
      </c>
      <c r="D178" s="9">
        <f>($B$3+$B$4)*COS(C178)-$B$4*COS((($B$3+$B$4)/$B$4)*C178)</f>
        <v>-27.649584224802268</v>
      </c>
      <c r="E178" s="9">
        <f>($B$3+$B$4)*SIN(C178)-$B$4*SIN((($B$3+$B$4)/$B$4)*C178)</f>
        <v>13.661889145351125</v>
      </c>
      <c r="F178" s="5"/>
      <c r="G178" s="5"/>
      <c r="H178" s="5"/>
    </row>
    <row r="179" spans="1:8" x14ac:dyDescent="0.3">
      <c r="A179" s="9">
        <f>ROW()-ROW($A$14)</f>
        <v>165</v>
      </c>
      <c r="B179" s="9">
        <f>IF(A179&lt;=$B$8,$B$6+(A179-1)*($B$7-$B$6)/MAX(1,$B$8-1),NA())</f>
        <v>164</v>
      </c>
      <c r="C179" s="9">
        <f>RADIANS(B179)</f>
        <v>2.8623399732707004</v>
      </c>
      <c r="D179" s="9">
        <f>($B$3+$B$4)*COS(C179)-$B$4*COS((($B$3+$B$4)/$B$4)*C179)</f>
        <v>-28.315208561811303</v>
      </c>
      <c r="E179" s="9">
        <f>($B$3+$B$4)*SIN(C179)-$B$4*SIN((($B$3+$B$4)/$B$4)*C179)</f>
        <v>13.241730151351343</v>
      </c>
      <c r="F179" s="5"/>
      <c r="G179" s="5"/>
      <c r="H179" s="5"/>
    </row>
    <row r="180" spans="1:8" x14ac:dyDescent="0.3">
      <c r="A180" s="9">
        <f>ROW()-ROW($A$14)</f>
        <v>166</v>
      </c>
      <c r="B180" s="9">
        <f>IF(A180&lt;=$B$8,$B$6+(A180-1)*($B$7-$B$6)/MAX(1,$B$8-1),NA())</f>
        <v>165</v>
      </c>
      <c r="C180" s="9">
        <f>RADIANS(B180)</f>
        <v>2.8797932657906435</v>
      </c>
      <c r="D180" s="9">
        <f>($B$3+$B$4)*COS(C180)-$B$4*COS((($B$3+$B$4)/$B$4)*C180)</f>
        <v>-28.977774788672036</v>
      </c>
      <c r="E180" s="9">
        <f>($B$3+$B$4)*SIN(C180)-$B$4*SIN((($B$3+$B$4)/$B$4)*C180)</f>
        <v>12.764571353075631</v>
      </c>
      <c r="F180" s="5"/>
      <c r="G180" s="5"/>
      <c r="H180" s="5"/>
    </row>
    <row r="181" spans="1:8" x14ac:dyDescent="0.3">
      <c r="A181" s="9">
        <f>ROW()-ROW($A$14)</f>
        <v>167</v>
      </c>
      <c r="B181" s="9">
        <f>IF(A181&lt;=$B$8,$B$6+(A181-1)*($B$7-$B$6)/MAX(1,$B$8-1),NA())</f>
        <v>166</v>
      </c>
      <c r="C181" s="9">
        <f>RADIANS(B181)</f>
        <v>2.8972465583105871</v>
      </c>
      <c r="D181" s="9">
        <f>($B$3+$B$4)*COS(C181)-$B$4*COS((($B$3+$B$4)/$B$4)*C181)</f>
        <v>-29.631514104618155</v>
      </c>
      <c r="E181" s="9">
        <f>($B$3+$B$4)*SIN(C181)-$B$4*SIN((($B$3+$B$4)/$B$4)*C181)</f>
        <v>12.230266344831399</v>
      </c>
      <c r="F181" s="5"/>
      <c r="G181" s="5"/>
      <c r="H181" s="5"/>
    </row>
    <row r="182" spans="1:8" x14ac:dyDescent="0.3">
      <c r="A182" s="9">
        <f>ROW()-ROW($A$14)</f>
        <v>168</v>
      </c>
      <c r="B182" s="9">
        <f>IF(A182&lt;=$B$8,$B$6+(A182-1)*($B$7-$B$6)/MAX(1,$B$8-1),NA())</f>
        <v>167</v>
      </c>
      <c r="C182" s="9">
        <f>RADIANS(B182)</f>
        <v>2.9146998508305302</v>
      </c>
      <c r="D182" s="9">
        <f>($B$3+$B$4)*COS(C182)-$B$4*COS((($B$3+$B$4)/$B$4)*C182)</f>
        <v>-30.270660397645845</v>
      </c>
      <c r="E182" s="9">
        <f>($B$3+$B$4)*SIN(C182)-$B$4*SIN((($B$3+$B$4)/$B$4)*C182)</f>
        <v>11.639269633984984</v>
      </c>
      <c r="F182" s="5"/>
      <c r="G182" s="5"/>
      <c r="H182" s="5"/>
    </row>
    <row r="183" spans="1:8" x14ac:dyDescent="0.3">
      <c r="A183" s="9">
        <f>ROW()-ROW($A$14)</f>
        <v>169</v>
      </c>
      <c r="B183" s="9">
        <f>IF(A183&lt;=$B$8,$B$6+(A183-1)*($B$7-$B$6)/MAX(1,$B$8-1),NA())</f>
        <v>168</v>
      </c>
      <c r="C183" s="9">
        <f>RADIANS(B183)</f>
        <v>2.9321531433504737</v>
      </c>
      <c r="D183" s="9">
        <f>($B$3+$B$4)*COS(C183)-$B$4*COS((($B$3+$B$4)/$B$4)*C183)</f>
        <v>-30.889512993888903</v>
      </c>
      <c r="E183" s="9">
        <f>($B$3+$B$4)*SIN(C183)-$B$4*SIN((($B$3+$B$4)/$B$4)*C183)</f>
        <v>10.99263330600855</v>
      </c>
      <c r="F183" s="5"/>
      <c r="G183" s="5"/>
      <c r="H183" s="5"/>
    </row>
    <row r="184" spans="1:8" x14ac:dyDescent="0.3">
      <c r="A184" s="9">
        <f>ROW()-ROW($A$14)</f>
        <v>170</v>
      </c>
      <c r="B184" s="9">
        <f>IF(A184&lt;=$B$8,$B$6+(A184-1)*($B$7-$B$6)/MAX(1,$B$8-1),NA())</f>
        <v>169</v>
      </c>
      <c r="C184" s="9">
        <f>RADIANS(B184)</f>
        <v>2.9496064358704168</v>
      </c>
      <c r="D184" s="9">
        <f>($B$3+$B$4)*COS(C184)-$B$4*COS((($B$3+$B$4)/$B$4)*C184)</f>
        <v>-31.48249871880892</v>
      </c>
      <c r="E184" s="9">
        <f>($B$3+$B$4)*SIN(C184)-$B$4*SIN((($B$3+$B$4)/$B$4)*C184)</f>
        <v>10.291997149509355</v>
      </c>
      <c r="F184" s="5"/>
      <c r="G184" s="5"/>
      <c r="H184" s="5"/>
    </row>
    <row r="185" spans="1:8" x14ac:dyDescent="0.3">
      <c r="A185" s="9">
        <f>ROW()-ROW($A$14)</f>
        <v>171</v>
      </c>
      <c r="B185" s="9">
        <f>IF(A185&lt;=$B$8,$B$6+(A185-1)*($B$7-$B$6)/MAX(1,$B$8-1),NA())</f>
        <v>170</v>
      </c>
      <c r="C185" s="9">
        <f>RADIANS(B185)</f>
        <v>2.9670597283903604</v>
      </c>
      <c r="D185" s="9">
        <f>($B$3+$B$4)*COS(C185)-$B$4*COS((($B$3+$B$4)/$B$4)*C185)</f>
        <v>-32.044232590366242</v>
      </c>
      <c r="E185" s="9">
        <f>($B$3+$B$4)*SIN(C185)-$B$4*SIN((($B$3+$B$4)/$B$4)*C185)</f>
        <v>9.5395723489301005</v>
      </c>
      <c r="F185" s="5"/>
      <c r="G185" s="5"/>
      <c r="H185" s="5"/>
    </row>
    <row r="186" spans="1:8" x14ac:dyDescent="0.3">
      <c r="A186" s="9">
        <f>ROW()-ROW($A$14)</f>
        <v>172</v>
      </c>
      <c r="B186" s="9">
        <f>IF(A186&lt;=$B$8,$B$6+(A186-1)*($B$7-$B$6)/MAX(1,$B$8-1),NA())</f>
        <v>171</v>
      </c>
      <c r="C186" s="9">
        <f>RADIANS(B186)</f>
        <v>2.9845130209103035</v>
      </c>
      <c r="D186" s="9">
        <f>($B$3+$B$4)*COS(C186)-$B$4*COS((($B$3+$B$4)/$B$4)*C186)</f>
        <v>-32.569576479316495</v>
      </c>
      <c r="E186" s="9">
        <f>($B$3+$B$4)*SIN(C186)-$B$4*SIN((($B$3+$B$4)/$B$4)*C186)</f>
        <v>8.7381189230816627</v>
      </c>
      <c r="F186" s="5"/>
      <c r="G186" s="5"/>
      <c r="H186" s="5"/>
    </row>
    <row r="187" spans="1:8" x14ac:dyDescent="0.3">
      <c r="A187" s="9">
        <f>ROW()-ROW($A$14)</f>
        <v>173</v>
      </c>
      <c r="B187" s="9">
        <f>IF(A187&lt;=$B$8,$B$6+(A187-1)*($B$7-$B$6)/MAX(1,$B$8-1),NA())</f>
        <v>172</v>
      </c>
      <c r="C187" s="9">
        <f>RADIANS(B187)</f>
        <v>3.001966313430247</v>
      </c>
      <c r="D187" s="9">
        <f>($B$3+$B$4)*COS(C187)-$B$4*COS((($B$3+$B$4)/$B$4)*C187)</f>
        <v>-33.053695094041409</v>
      </c>
      <c r="E187" s="9">
        <f>($B$3+$B$4)*SIN(C187)-$B$4*SIN((($B$3+$B$4)/$B$4)*C187)</f>
        <v>7.8909171561889258</v>
      </c>
      <c r="F187" s="5"/>
      <c r="G187" s="5"/>
      <c r="H187" s="5"/>
    </row>
    <row r="188" spans="1:8" x14ac:dyDescent="0.3">
      <c r="A188" s="9">
        <f>ROW()-ROW($A$14)</f>
        <v>174</v>
      </c>
      <c r="B188" s="9">
        <f>IF(A188&lt;=$B$8,$B$6+(A188-1)*($B$7-$B$6)/MAX(1,$B$8-1),NA())</f>
        <v>173</v>
      </c>
      <c r="C188" s="9">
        <f>RADIANS(B188)</f>
        <v>3.0194196059501901</v>
      </c>
      <c r="D188" s="9">
        <f>($B$3+$B$4)*COS(C188)-$B$4*COS((($B$3+$B$4)/$B$4)*C188)</f>
        <v>-33.492108676626628</v>
      </c>
      <c r="E188" s="9">
        <f>($B$3+$B$4)*SIN(C188)-$B$4*SIN((($B$3+$B$4)/$B$4)*C188)</f>
        <v>7.0017333339487218</v>
      </c>
      <c r="F188" s="5"/>
      <c r="G188" s="5"/>
      <c r="H188" s="5"/>
    </row>
    <row r="189" spans="1:8" x14ac:dyDescent="0.3">
      <c r="A189" s="9">
        <f>ROW()-ROW($A$14)</f>
        <v>175</v>
      </c>
      <c r="B189" s="9">
        <f>IF(A189&lt;=$B$8,$B$6+(A189-1)*($B$7-$B$6)/MAX(1,$B$8-1),NA())</f>
        <v>174</v>
      </c>
      <c r="C189" s="9">
        <f>RADIANS(B189)</f>
        <v>3.0368728984701332</v>
      </c>
      <c r="D189" s="9">
        <f>($B$3+$B$4)*COS(C189)-$B$4*COS((($B$3+$B$4)/$B$4)*C189)</f>
        <v>-33.880741832922936</v>
      </c>
      <c r="E189" s="9">
        <f>($B$3+$B$4)*SIN(C189)-$B$4*SIN((($B$3+$B$4)/$B$4)*C189)</f>
        <v>6.074780159491981</v>
      </c>
      <c r="F189" s="5"/>
      <c r="G189" s="5"/>
      <c r="H189" s="5"/>
    </row>
    <row r="190" spans="1:8" x14ac:dyDescent="0.3">
      <c r="A190" s="9">
        <f>ROW()-ROW($A$14)</f>
        <v>176</v>
      </c>
      <c r="B190" s="9">
        <f>IF(A190&lt;=$B$8,$B$6+(A190-1)*($B$7-$B$6)/MAX(1,$B$8-1),NA())</f>
        <v>175</v>
      </c>
      <c r="C190" s="9">
        <f>RADIANS(B190)</f>
        <v>3.0543261909900767</v>
      </c>
      <c r="D190" s="9">
        <f>($B$3+$B$4)*COS(C190)-$B$4*COS((($B$3+$B$4)/$B$4)*C190)</f>
        <v>-34.215967961674558</v>
      </c>
      <c r="E190" s="9">
        <f>($B$3+$B$4)*SIN(C190)-$B$4*SIN((($B$3+$B$4)/$B$4)*C190)</f>
        <v>5.1146722824297459</v>
      </c>
      <c r="F190" s="5"/>
      <c r="G190" s="5"/>
      <c r="H190" s="5"/>
    </row>
    <row r="191" spans="1:8" x14ac:dyDescent="0.3">
      <c r="A191" s="9">
        <f>ROW()-ROW($A$14)</f>
        <v>177</v>
      </c>
      <c r="B191" s="9">
        <f>IF(A191&lt;=$B$8,$B$6+(A191-1)*($B$7-$B$6)/MAX(1,$B$8-1),NA())</f>
        <v>176</v>
      </c>
      <c r="C191" s="9">
        <f>RADIANS(B191)</f>
        <v>3.0717794835100198</v>
      </c>
      <c r="D191" s="9">
        <f>($B$3+$B$4)*COS(C191)-$B$4*COS((($B$3+$B$4)/$B$4)*C191)</f>
        <v>-34.494648796007723</v>
      </c>
      <c r="E191" s="9">
        <f>($B$3+$B$4)*SIN(C191)-$B$4*SIN((($B$3+$B$4)/$B$4)*C191)</f>
        <v>4.1263774277027805</v>
      </c>
      <c r="F191" s="5"/>
      <c r="G191" s="5"/>
      <c r="H191" s="5"/>
    </row>
    <row r="192" spans="1:8" x14ac:dyDescent="0.3">
      <c r="A192" s="9">
        <f>ROW()-ROW($A$14)</f>
        <v>178</v>
      </c>
      <c r="B192" s="9">
        <f>IF(A192&lt;=$B$8,$B$6+(A192-1)*($B$7-$B$6)/MAX(1,$B$8-1),NA())</f>
        <v>177</v>
      </c>
      <c r="C192" s="9">
        <f>RADIANS(B192)</f>
        <v>3.0892327760299634</v>
      </c>
      <c r="D192" s="9">
        <f>($B$3+$B$4)*COS(C192)-$B$4*COS((($B$3+$B$4)/$B$4)*C192)</f>
        <v>-34.714168624112986</v>
      </c>
      <c r="E192" s="9">
        <f>($B$3+$B$4)*SIN(C192)-$B$4*SIN((($B$3+$B$4)/$B$4)*C192)</f>
        <v>3.1151636591630458</v>
      </c>
      <c r="F192" s="5"/>
      <c r="G192" s="5"/>
      <c r="H192" s="5"/>
    </row>
    <row r="193" spans="1:8" x14ac:dyDescent="0.3">
      <c r="A193" s="9">
        <f>ROW()-ROW($A$14)</f>
        <v>179</v>
      </c>
      <c r="B193" s="9">
        <f>IF(A193&lt;=$B$8,$B$6+(A193-1)*($B$7-$B$6)/MAX(1,$B$8-1),NA())</f>
        <v>178</v>
      </c>
      <c r="C193" s="9">
        <f>RADIANS(B193)</f>
        <v>3.1066860685499065</v>
      </c>
      <c r="D193" s="9">
        <f>($B$3+$B$4)*COS(C193)-$B$4*COS((($B$3+$B$4)/$B$4)*C193)</f>
        <v>-34.872462814241899</v>
      </c>
      <c r="E193" s="9">
        <f>($B$3+$B$4)*SIN(C193)-$B$4*SIN((($B$3+$B$4)/$B$4)*C193)</f>
        <v>2.0865433551638404</v>
      </c>
      <c r="F193" s="5"/>
      <c r="G193" s="5"/>
      <c r="H193" s="5"/>
    </row>
    <row r="194" spans="1:8" x14ac:dyDescent="0.3">
      <c r="A194" s="9">
        <f>ROW()-ROW($A$14)</f>
        <v>180</v>
      </c>
      <c r="B194" s="9">
        <f>IF(A194&lt;=$B$8,$B$6+(A194-1)*($B$7-$B$6)/MAX(1,$B$8-1),NA())</f>
        <v>179</v>
      </c>
      <c r="C194" s="9">
        <f>RADIANS(B194)</f>
        <v>3.12413936106985</v>
      </c>
      <c r="D194" s="9">
        <f>($B$3+$B$4)*COS(C194)-$B$4*COS((($B$3+$B$4)/$B$4)*C194)</f>
        <v>-34.968040331533103</v>
      </c>
      <c r="E194" s="9">
        <f>($B$3+$B$4)*SIN(C194)-$B$4*SIN((($B$3+$B$4)/$B$4)*C194)</f>
        <v>1.0462145094567772</v>
      </c>
      <c r="F194" s="5"/>
      <c r="G194" s="5"/>
      <c r="H194" s="5"/>
    </row>
    <row r="195" spans="1:8" x14ac:dyDescent="0.3">
      <c r="A195" s="9">
        <f>ROW()-ROW($A$14)</f>
        <v>181</v>
      </c>
      <c r="B195" s="9">
        <f>IF(A195&lt;=$B$8,$B$6+(A195-1)*($B$7-$B$6)/MAX(1,$B$8-1),NA())</f>
        <v>180</v>
      </c>
      <c r="C195" s="9">
        <f>RADIANS(B195)</f>
        <v>3.1415926535897931</v>
      </c>
      <c r="D195" s="9">
        <f>($B$3+$B$4)*COS(C195)-$B$4*COS((($B$3+$B$4)/$B$4)*C195)</f>
        <v>-35</v>
      </c>
      <c r="E195" s="9">
        <f>($B$3+$B$4)*SIN(C195)-$B$4*SIN((($B$3+$B$4)/$B$4)*C195)</f>
        <v>7.3508907294517201E-15</v>
      </c>
      <c r="F195" s="5"/>
      <c r="G195" s="5"/>
      <c r="H195" s="5"/>
    </row>
    <row r="196" spans="1:8" x14ac:dyDescent="0.3">
      <c r="A196" s="9">
        <f>ROW()-ROW($A$14)</f>
        <v>182</v>
      </c>
      <c r="B196" s="9">
        <f>IF(A196&lt;=$B$8,$B$6+(A196-1)*($B$7-$B$6)/MAX(1,$B$8-1),NA())</f>
        <v>181</v>
      </c>
      <c r="C196" s="9">
        <f>RADIANS(B196)</f>
        <v>3.1590459461097367</v>
      </c>
      <c r="D196" s="9">
        <f>($B$3+$B$4)*COS(C196)-$B$4*COS((($B$3+$B$4)/$B$4)*C196)</f>
        <v>-34.968040331533103</v>
      </c>
      <c r="E196" s="9">
        <f>($B$3+$B$4)*SIN(C196)-$B$4*SIN((($B$3+$B$4)/$B$4)*C196)</f>
        <v>-1.0462145094567759</v>
      </c>
      <c r="F196" s="5"/>
      <c r="G196" s="5"/>
      <c r="H196" s="5"/>
    </row>
    <row r="197" spans="1:8" x14ac:dyDescent="0.3">
      <c r="A197" s="9">
        <f>ROW()-ROW($A$14)</f>
        <v>183</v>
      </c>
      <c r="B197" s="9">
        <f>IF(A197&lt;=$B$8,$B$6+(A197-1)*($B$7-$B$6)/MAX(1,$B$8-1),NA())</f>
        <v>182</v>
      </c>
      <c r="C197" s="9">
        <f>RADIANS(B197)</f>
        <v>3.1764992386296798</v>
      </c>
      <c r="D197" s="9">
        <f>($B$3+$B$4)*COS(C197)-$B$4*COS((($B$3+$B$4)/$B$4)*C197)</f>
        <v>-34.872462814241899</v>
      </c>
      <c r="E197" s="9">
        <f>($B$3+$B$4)*SIN(C197)-$B$4*SIN((($B$3+$B$4)/$B$4)*C197)</f>
        <v>-2.0865433551638257</v>
      </c>
      <c r="F197" s="5"/>
      <c r="G197" s="5"/>
      <c r="H197" s="5"/>
    </row>
    <row r="198" spans="1:8" x14ac:dyDescent="0.3">
      <c r="A198" s="9">
        <f>ROW()-ROW($A$14)</f>
        <v>184</v>
      </c>
      <c r="B198" s="9">
        <f>IF(A198&lt;=$B$8,$B$6+(A198-1)*($B$7-$B$6)/MAX(1,$B$8-1),NA())</f>
        <v>183</v>
      </c>
      <c r="C198" s="9">
        <f>RADIANS(B198)</f>
        <v>3.1939525311496229</v>
      </c>
      <c r="D198" s="9">
        <f>($B$3+$B$4)*COS(C198)-$B$4*COS((($B$3+$B$4)/$B$4)*C198)</f>
        <v>-34.714168624112986</v>
      </c>
      <c r="E198" s="9">
        <f>($B$3+$B$4)*SIN(C198)-$B$4*SIN((($B$3+$B$4)/$B$4)*C198)</f>
        <v>-3.1151636591630316</v>
      </c>
      <c r="F198" s="5"/>
      <c r="G198" s="5"/>
      <c r="H198" s="5"/>
    </row>
    <row r="199" spans="1:8" x14ac:dyDescent="0.3">
      <c r="A199" s="9">
        <f>ROW()-ROW($A$14)</f>
        <v>185</v>
      </c>
      <c r="B199" s="9">
        <f>IF(A199&lt;=$B$8,$B$6+(A199-1)*($B$7-$B$6)/MAX(1,$B$8-1),NA())</f>
        <v>184</v>
      </c>
      <c r="C199" s="9">
        <f>RADIANS(B199)</f>
        <v>3.2114058236695664</v>
      </c>
      <c r="D199" s="9">
        <f>($B$3+$B$4)*COS(C199)-$B$4*COS((($B$3+$B$4)/$B$4)*C199)</f>
        <v>-34.494648796007731</v>
      </c>
      <c r="E199" s="9">
        <f>($B$3+$B$4)*SIN(C199)-$B$4*SIN((($B$3+$B$4)/$B$4)*C199)</f>
        <v>-4.1263774277027672</v>
      </c>
      <c r="F199" s="5"/>
      <c r="G199" s="5"/>
      <c r="H199" s="5"/>
    </row>
    <row r="200" spans="1:8" x14ac:dyDescent="0.3">
      <c r="A200" s="9">
        <f>ROW()-ROW($A$14)</f>
        <v>186</v>
      </c>
      <c r="B200" s="9">
        <f>IF(A200&lt;=$B$8,$B$6+(A200-1)*($B$7-$B$6)/MAX(1,$B$8-1),NA())</f>
        <v>185</v>
      </c>
      <c r="C200" s="9">
        <f>RADIANS(B200)</f>
        <v>3.2288591161895095</v>
      </c>
      <c r="D200" s="9">
        <f>($B$3+$B$4)*COS(C200)-$B$4*COS((($B$3+$B$4)/$B$4)*C200)</f>
        <v>-34.215967961674565</v>
      </c>
      <c r="E200" s="9">
        <f>($B$3+$B$4)*SIN(C200)-$B$4*SIN((($B$3+$B$4)/$B$4)*C200)</f>
        <v>-5.1146722824297326</v>
      </c>
      <c r="F200" s="5"/>
      <c r="G200" s="5"/>
      <c r="H200" s="5"/>
    </row>
    <row r="201" spans="1:8" x14ac:dyDescent="0.3">
      <c r="A201" s="9">
        <f>ROW()-ROW($A$14)</f>
        <v>187</v>
      </c>
      <c r="B201" s="9">
        <f>IF(A201&lt;=$B$8,$B$6+(A201-1)*($B$7-$B$6)/MAX(1,$B$8-1),NA())</f>
        <v>186</v>
      </c>
      <c r="C201" s="9">
        <f>RADIANS(B201)</f>
        <v>3.246312408709453</v>
      </c>
      <c r="D201" s="9">
        <f>($B$3+$B$4)*COS(C201)-$B$4*COS((($B$3+$B$4)/$B$4)*C201)</f>
        <v>-33.880741832922936</v>
      </c>
      <c r="E201" s="9">
        <f>($B$3+$B$4)*SIN(C201)-$B$4*SIN((($B$3+$B$4)/$B$4)*C201)</f>
        <v>-6.0747801594919668</v>
      </c>
      <c r="F201" s="5"/>
      <c r="G201" s="5"/>
      <c r="H201" s="5"/>
    </row>
    <row r="202" spans="1:8" x14ac:dyDescent="0.3">
      <c r="A202" s="9">
        <f>ROW()-ROW($A$14)</f>
        <v>188</v>
      </c>
      <c r="B202" s="9">
        <f>IF(A202&lt;=$B$8,$B$6+(A202-1)*($B$7-$B$6)/MAX(1,$B$8-1),NA())</f>
        <v>187</v>
      </c>
      <c r="C202" s="9">
        <f>RADIANS(B202)</f>
        <v>3.2637657012293961</v>
      </c>
      <c r="D202" s="9">
        <f>($B$3+$B$4)*COS(C202)-$B$4*COS((($B$3+$B$4)/$B$4)*C202)</f>
        <v>-33.492108676626636</v>
      </c>
      <c r="E202" s="9">
        <f>($B$3+$B$4)*SIN(C202)-$B$4*SIN((($B$3+$B$4)/$B$4)*C202)</f>
        <v>-7.0017333339487102</v>
      </c>
      <c r="F202" s="5"/>
      <c r="G202" s="5"/>
      <c r="H202" s="5"/>
    </row>
    <row r="203" spans="1:8" x14ac:dyDescent="0.3">
      <c r="A203" s="9">
        <f>ROW()-ROW($A$14)</f>
        <v>189</v>
      </c>
      <c r="B203" s="9">
        <f>IF(A203&lt;=$B$8,$B$6+(A203-1)*($B$7-$B$6)/MAX(1,$B$8-1),NA())</f>
        <v>188</v>
      </c>
      <c r="C203" s="9">
        <f>RADIANS(B203)</f>
        <v>3.2812189937493397</v>
      </c>
      <c r="D203" s="9">
        <f>($B$3+$B$4)*COS(C203)-$B$4*COS((($B$3+$B$4)/$B$4)*C203)</f>
        <v>-33.053695094041394</v>
      </c>
      <c r="E203" s="9">
        <f>($B$3+$B$4)*SIN(C203)-$B$4*SIN((($B$3+$B$4)/$B$4)*C203)</f>
        <v>-7.8909171561889373</v>
      </c>
      <c r="F203" s="5"/>
      <c r="G203" s="5"/>
      <c r="H203" s="5"/>
    </row>
    <row r="204" spans="1:8" x14ac:dyDescent="0.3">
      <c r="A204" s="9">
        <f>ROW()-ROW($A$14)</f>
        <v>190</v>
      </c>
      <c r="B204" s="9">
        <f>IF(A204&lt;=$B$8,$B$6+(A204-1)*($B$7-$B$6)/MAX(1,$B$8-1),NA())</f>
        <v>189</v>
      </c>
      <c r="C204" s="9">
        <f>RADIANS(B204)</f>
        <v>3.2986722862692828</v>
      </c>
      <c r="D204" s="9">
        <f>($B$3+$B$4)*COS(C204)-$B$4*COS((($B$3+$B$4)/$B$4)*C204)</f>
        <v>-32.56957647931651</v>
      </c>
      <c r="E204" s="9">
        <f>($B$3+$B$4)*SIN(C204)-$B$4*SIN((($B$3+$B$4)/$B$4)*C204)</f>
        <v>-8.7381189230816503</v>
      </c>
      <c r="F204" s="5"/>
      <c r="G204" s="5"/>
      <c r="H204" s="5"/>
    </row>
    <row r="205" spans="1:8" x14ac:dyDescent="0.3">
      <c r="A205" s="9">
        <f>ROW()-ROW($A$14)</f>
        <v>191</v>
      </c>
      <c r="B205" s="9">
        <f>IF(A205&lt;=$B$8,$B$6+(A205-1)*($B$7-$B$6)/MAX(1,$B$8-1),NA())</f>
        <v>190</v>
      </c>
      <c r="C205" s="9">
        <f>RADIANS(B205)</f>
        <v>3.3161255787892263</v>
      </c>
      <c r="D205" s="9">
        <f>($B$3+$B$4)*COS(C205)-$B$4*COS((($B$3+$B$4)/$B$4)*C205)</f>
        <v>-32.044232590366235</v>
      </c>
      <c r="E205" s="9">
        <f>($B$3+$B$4)*SIN(C205)-$B$4*SIN((($B$3+$B$4)/$B$4)*C205)</f>
        <v>-9.5395723489301112</v>
      </c>
      <c r="F205" s="5"/>
      <c r="G205" s="5"/>
      <c r="H205" s="5"/>
    </row>
    <row r="206" spans="1:8" x14ac:dyDescent="0.3">
      <c r="A206" s="9">
        <f>ROW()-ROW($A$14)</f>
        <v>192</v>
      </c>
      <c r="B206" s="9">
        <f>IF(A206&lt;=$B$8,$B$6+(A206-1)*($B$7-$B$6)/MAX(1,$B$8-1),NA())</f>
        <v>191</v>
      </c>
      <c r="C206" s="9">
        <f>RADIANS(B206)</f>
        <v>3.3335788713091694</v>
      </c>
      <c r="D206" s="9">
        <f>($B$3+$B$4)*COS(C206)-$B$4*COS((($B$3+$B$4)/$B$4)*C206)</f>
        <v>-31.482498718808927</v>
      </c>
      <c r="E206" s="9">
        <f>($B$3+$B$4)*SIN(C206)-$B$4*SIN((($B$3+$B$4)/$B$4)*C206)</f>
        <v>-10.291997149509342</v>
      </c>
      <c r="F206" s="5"/>
      <c r="G206" s="5"/>
      <c r="H206" s="5"/>
    </row>
    <row r="207" spans="1:8" x14ac:dyDescent="0.3">
      <c r="A207" s="9">
        <f>ROW()-ROW($A$14)</f>
        <v>193</v>
      </c>
      <c r="B207" s="9">
        <f>IF(A207&lt;=$B$8,$B$6+(A207-1)*($B$7-$B$6)/MAX(1,$B$8-1),NA())</f>
        <v>192</v>
      </c>
      <c r="C207" s="9">
        <f>RADIANS(B207)</f>
        <v>3.351032163829113</v>
      </c>
      <c r="D207" s="9">
        <f>($B$3+$B$4)*COS(C207)-$B$4*COS((($B$3+$B$4)/$B$4)*C207)</f>
        <v>-30.889512993888907</v>
      </c>
      <c r="E207" s="9">
        <f>($B$3+$B$4)*SIN(C207)-$B$4*SIN((($B$3+$B$4)/$B$4)*C207)</f>
        <v>-10.992633306008551</v>
      </c>
      <c r="F207" s="5"/>
      <c r="G207" s="5"/>
      <c r="H207" s="5"/>
    </row>
    <row r="208" spans="1:8" x14ac:dyDescent="0.3">
      <c r="A208" s="9">
        <f>ROW()-ROW($A$14)</f>
        <v>194</v>
      </c>
      <c r="B208" s="9">
        <f>IF(A208&lt;=$B$8,$B$6+(A208-1)*($B$7-$B$6)/MAX(1,$B$8-1),NA())</f>
        <v>193</v>
      </c>
      <c r="C208" s="9">
        <f>RADIANS(B208)</f>
        <v>3.3684854563490561</v>
      </c>
      <c r="D208" s="9">
        <f>($B$3+$B$4)*COS(C208)-$B$4*COS((($B$3+$B$4)/$B$4)*C208)</f>
        <v>-30.270660397645855</v>
      </c>
      <c r="E208" s="9">
        <f>($B$3+$B$4)*SIN(C208)-$B$4*SIN((($B$3+$B$4)/$B$4)*C208)</f>
        <v>-11.639269633984977</v>
      </c>
      <c r="F208" s="5"/>
      <c r="G208" s="5"/>
      <c r="H208" s="5"/>
    </row>
    <row r="209" spans="1:8" x14ac:dyDescent="0.3">
      <c r="A209" s="9">
        <f>ROW()-ROW($A$14)</f>
        <v>195</v>
      </c>
      <c r="B209" s="9">
        <f>IF(A209&lt;=$B$8,$B$6+(A209-1)*($B$7-$B$6)/MAX(1,$B$8-1),NA())</f>
        <v>194</v>
      </c>
      <c r="C209" s="9">
        <f>RADIANS(B209)</f>
        <v>3.3859387488689991</v>
      </c>
      <c r="D209" s="9">
        <f>($B$3+$B$4)*COS(C209)-$B$4*COS((($B$3+$B$4)/$B$4)*C209)</f>
        <v>-29.631514104618162</v>
      </c>
      <c r="E209" s="9">
        <f>($B$3+$B$4)*SIN(C209)-$B$4*SIN((($B$3+$B$4)/$B$4)*C209)</f>
        <v>-12.230266344831392</v>
      </c>
      <c r="F209" s="5"/>
      <c r="G209" s="5"/>
      <c r="H209" s="5"/>
    </row>
    <row r="210" spans="1:8" x14ac:dyDescent="0.3">
      <c r="A210" s="9">
        <f>ROW()-ROW($A$14)</f>
        <v>196</v>
      </c>
      <c r="B210" s="9">
        <f>IF(A210&lt;=$B$8,$B$6+(A210-1)*($B$7-$B$6)/MAX(1,$B$8-1),NA())</f>
        <v>195</v>
      </c>
      <c r="C210" s="9">
        <f>RADIANS(B210)</f>
        <v>3.4033920413889427</v>
      </c>
      <c r="D210" s="9">
        <f>($B$3+$B$4)*COS(C210)-$B$4*COS((($B$3+$B$4)/$B$4)*C210)</f>
        <v>-28.977774788672047</v>
      </c>
      <c r="E210" s="9">
        <f>($B$3+$B$4)*SIN(C210)-$B$4*SIN((($B$3+$B$4)/$B$4)*C210)</f>
        <v>-12.764571353075624</v>
      </c>
      <c r="F210" s="5"/>
      <c r="G210" s="5"/>
      <c r="H210" s="5"/>
    </row>
    <row r="211" spans="1:8" x14ac:dyDescent="0.3">
      <c r="A211" s="9">
        <f>ROW()-ROW($A$14)</f>
        <v>197</v>
      </c>
      <c r="B211" s="9">
        <f>IF(A211&lt;=$B$8,$B$6+(A211-1)*($B$7-$B$6)/MAX(1,$B$8-1),NA())</f>
        <v>196</v>
      </c>
      <c r="C211" s="9">
        <f>RADIANS(B211)</f>
        <v>3.4208453339088858</v>
      </c>
      <c r="D211" s="9">
        <f>($B$3+$B$4)*COS(C211)-$B$4*COS((($B$3+$B$4)/$B$4)*C211)</f>
        <v>-28.315208561811311</v>
      </c>
      <c r="E211" s="9">
        <f>($B$3+$B$4)*SIN(C211)-$B$4*SIN((($B$3+$B$4)/$B$4)*C211)</f>
        <v>-13.241730151351337</v>
      </c>
      <c r="F211" s="5"/>
      <c r="G211" s="5"/>
      <c r="H211" s="5"/>
    </row>
    <row r="212" spans="1:8" x14ac:dyDescent="0.3">
      <c r="A212" s="9">
        <f>ROW()-ROW($A$14)</f>
        <v>198</v>
      </c>
      <c r="B212" s="9">
        <f>IF(A212&lt;=$B$8,$B$6+(A212-1)*($B$7-$B$6)/MAX(1,$B$8-1),NA())</f>
        <v>197</v>
      </c>
      <c r="C212" s="9">
        <f>RADIANS(B212)</f>
        <v>3.4382986264288293</v>
      </c>
      <c r="D212" s="9">
        <f>($B$3+$B$4)*COS(C212)-$B$4*COS((($B$3+$B$4)/$B$4)*C212)</f>
        <v>-27.649584224802254</v>
      </c>
      <c r="E212" s="9">
        <f>($B$3+$B$4)*SIN(C212)-$B$4*SIN((($B$3+$B$4)/$B$4)*C212)</f>
        <v>-13.661889145351131</v>
      </c>
      <c r="F212" s="5"/>
      <c r="G212" s="5"/>
      <c r="H212" s="5"/>
    </row>
    <row r="213" spans="1:8" x14ac:dyDescent="0.3">
      <c r="A213" s="9">
        <f>ROW()-ROW($A$14)</f>
        <v>199</v>
      </c>
      <c r="B213" s="9">
        <f>IF(A213&lt;=$B$8,$B$6+(A213-1)*($B$7-$B$6)/MAX(1,$B$8-1),NA())</f>
        <v>198</v>
      </c>
      <c r="C213" s="9">
        <f>RADIANS(B213)</f>
        <v>3.4557519189487724</v>
      </c>
      <c r="D213" s="9">
        <f>($B$3+$B$4)*COS(C213)-$B$4*COS((($B$3+$B$4)/$B$4)*C213)</f>
        <v>-26.986610516979876</v>
      </c>
      <c r="E213" s="9">
        <f>($B$3+$B$4)*SIN(C213)-$B$4*SIN((($B$3+$B$4)/$B$4)*C213)</f>
        <v>-14.025792412724186</v>
      </c>
      <c r="F213" s="5"/>
      <c r="G213" s="5"/>
      <c r="H213" s="5"/>
    </row>
    <row r="214" spans="1:8" x14ac:dyDescent="0.3">
      <c r="A214" s="9">
        <f>ROW()-ROW($A$14)</f>
        <v>200</v>
      </c>
      <c r="B214" s="9">
        <f>IF(A214&lt;=$B$8,$B$6+(A214-1)*($B$7-$B$6)/MAX(1,$B$8-1),NA())</f>
        <v>199</v>
      </c>
      <c r="C214" s="9">
        <f>RADIANS(B214)</f>
        <v>3.473205211468716</v>
      </c>
      <c r="D214" s="9">
        <f>($B$3+$B$4)*COS(C214)-$B$4*COS((($B$3+$B$4)/$B$4)*C214)</f>
        <v>-26.331874052600501</v>
      </c>
      <c r="E214" s="9">
        <f>($B$3+$B$4)*SIN(C214)-$B$4*SIN((($B$3+$B$4)/$B$4)*C214)</f>
        <v>-14.334771921927707</v>
      </c>
      <c r="F214" s="5"/>
      <c r="G214" s="5"/>
      <c r="H214" s="5"/>
    </row>
    <row r="215" spans="1:8" x14ac:dyDescent="0.3">
      <c r="A215" s="9">
        <f>ROW()-ROW($A$14)</f>
        <v>201</v>
      </c>
      <c r="B215" s="9">
        <f>IF(A215&lt;=$B$8,$B$6+(A215-1)*($B$7-$B$6)/MAX(1,$B$8-1),NA())</f>
        <v>200</v>
      </c>
      <c r="C215" s="9">
        <f>RADIANS(B215)</f>
        <v>3.4906585039886591</v>
      </c>
      <c r="D215" s="9">
        <f>($B$3+$B$4)*COS(C215)-$B$4*COS((($B$3+$B$4)/$B$4)*C215)</f>
        <v>-25.690778623577252</v>
      </c>
      <c r="E215" s="9">
        <f>($B$3+$B$4)*SIN(C215)-$B$4*SIN((($B$3+$B$4)/$B$4)*C215)</f>
        <v>-14.590731318692253</v>
      </c>
      <c r="F215" s="5"/>
      <c r="G215" s="5"/>
      <c r="H215" s="5"/>
    </row>
    <row r="216" spans="1:8" x14ac:dyDescent="0.3">
      <c r="A216" s="9">
        <f>ROW()-ROW($A$14)</f>
        <v>202</v>
      </c>
      <c r="B216" s="9">
        <f>IF(A216&lt;=$B$8,$B$6+(A216-1)*($B$7-$B$6)/MAX(1,$B$8-1),NA())</f>
        <v>201</v>
      </c>
      <c r="C216" s="9">
        <f>RADIANS(B216)</f>
        <v>3.5081117965086026</v>
      </c>
      <c r="D216" s="9">
        <f>($B$3+$B$4)*COS(C216)-$B$4*COS((($B$3+$B$4)/$B$4)*C216)</f>
        <v>-25.068486533453683</v>
      </c>
      <c r="E216" s="9">
        <f>($B$3+$B$4)*SIN(C216)-$B$4*SIN((($B$3+$B$4)/$B$4)*C216)</f>
        <v>-14.796123458233748</v>
      </c>
      <c r="F216" s="5"/>
      <c r="G216" s="5"/>
      <c r="H216" s="5"/>
    </row>
    <row r="217" spans="1:8" x14ac:dyDescent="0.3">
      <c r="A217" s="9">
        <f>ROW()-ROW($A$14)</f>
        <v>203</v>
      </c>
      <c r="B217" s="9">
        <f>IF(A217&lt;=$B$8,$B$6+(A217-1)*($B$7-$B$6)/MAX(1,$B$8-1),NA())</f>
        <v>202</v>
      </c>
      <c r="C217" s="9">
        <f>RADIANS(B217)</f>
        <v>3.5255650890285457</v>
      </c>
      <c r="D217" s="9">
        <f>($B$3+$B$4)*COS(C217)-$B$4*COS((($B$3+$B$4)/$B$4)*C217)</f>
        <v>-24.469862605209336</v>
      </c>
      <c r="E217" s="9">
        <f>($B$3+$B$4)*SIN(C217)-$B$4*SIN((($B$3+$B$4)/$B$4)*C217)</f>
        <v>-14.95392192986434</v>
      </c>
      <c r="F217" s="5"/>
      <c r="G217" s="5"/>
      <c r="H217" s="5"/>
    </row>
    <row r="218" spans="1:8" x14ac:dyDescent="0.3">
      <c r="A218" s="9">
        <f>ROW()-ROW($A$14)</f>
        <v>204</v>
      </c>
      <c r="B218" s="9">
        <f>IF(A218&lt;=$B$8,$B$6+(A218-1)*($B$7-$B$6)/MAX(1,$B$8-1),NA())</f>
        <v>203</v>
      </c>
      <c r="C218" s="9">
        <f>RADIANS(B218)</f>
        <v>3.5430183815484888</v>
      </c>
      <c r="D218" s="9">
        <f>($B$3+$B$4)*COS(C218)-$B$4*COS((($B$3+$B$4)/$B$4)*C218)</f>
        <v>-23.899421476186244</v>
      </c>
      <c r="E218" s="9">
        <f>($B$3+$B$4)*SIN(C218)-$B$4*SIN((($B$3+$B$4)/$B$4)*C218)</f>
        <v>-15.067586886472503</v>
      </c>
      <c r="F218" s="5"/>
      <c r="G218" s="5"/>
      <c r="H218" s="5"/>
    </row>
    <row r="219" spans="1:8" x14ac:dyDescent="0.3">
      <c r="A219" s="9">
        <f>ROW()-ROW($A$14)</f>
        <v>205</v>
      </c>
      <c r="B219" s="9">
        <f>IF(A219&lt;=$B$8,$B$6+(A219-1)*($B$7-$B$6)/MAX(1,$B$8-1),NA())</f>
        <v>204</v>
      </c>
      <c r="C219" s="9">
        <f>RADIANS(B219)</f>
        <v>3.5604716740684323</v>
      </c>
      <c r="D219" s="9">
        <f>($B$3+$B$4)*COS(C219)-$B$4*COS((($B$3+$B$4)/$B$4)*C219)</f>
        <v>-23.361278757403291</v>
      </c>
      <c r="E219" s="9">
        <f>($B$3+$B$4)*SIN(C219)-$B$4*SIN((($B$3+$B$4)/$B$4)*C219)</f>
        <v>-15.141025553736375</v>
      </c>
      <c r="F219" s="5"/>
      <c r="G219" s="5"/>
      <c r="H219" s="5"/>
    </row>
    <row r="220" spans="1:8" x14ac:dyDescent="0.3">
      <c r="A220" s="9">
        <f>ROW()-ROW($A$14)</f>
        <v>206</v>
      </c>
      <c r="B220" s="9">
        <f>IF(A220&lt;=$B$8,$B$6+(A220-1)*($B$7-$B$6)/MAX(1,$B$8-1),NA())</f>
        <v>205</v>
      </c>
      <c r="C220" s="9">
        <f>RADIANS(B220)</f>
        <v>3.5779249665883754</v>
      </c>
      <c r="D220" s="9">
        <f>($B$3+$B$4)*COS(C220)-$B$4*COS((($B$3+$B$4)/$B$4)*C220)</f>
        <v>-22.859106592177312</v>
      </c>
      <c r="E220" s="9">
        <f>($B$3+$B$4)*SIN(C220)-$B$4*SIN((($B$3+$B$4)/$B$4)*C220)</f>
        <v>-15.17854785222098</v>
      </c>
      <c r="F220" s="5"/>
      <c r="G220" s="5"/>
      <c r="H220" s="5"/>
    </row>
    <row r="221" spans="1:8" x14ac:dyDescent="0.3">
      <c r="A221" s="9">
        <f>ROW()-ROW($A$14)</f>
        <v>207</v>
      </c>
      <c r="B221" s="9">
        <f>IF(A221&lt;=$B$8,$B$6+(A221-1)*($B$7-$B$6)/MAX(1,$B$8-1),NA())</f>
        <v>206</v>
      </c>
      <c r="C221" s="9">
        <f>RADIANS(B221)</f>
        <v>3.595378259108319</v>
      </c>
      <c r="D221" s="9">
        <f>($B$3+$B$4)*COS(C221)-$B$4*COS((($B$3+$B$4)/$B$4)*C221)</f>
        <v>-22.396094100761999</v>
      </c>
      <c r="E221" s="9">
        <f>($B$3+$B$4)*SIN(C221)-$B$4*SIN((($B$3+$B$4)/$B$4)*C221)</f>
        <v>-15.184817619051323</v>
      </c>
      <c r="F221" s="5"/>
      <c r="G221" s="5"/>
      <c r="H221" s="5"/>
    </row>
    <row r="222" spans="1:8" x14ac:dyDescent="0.3">
      <c r="A222" s="9">
        <f>ROW()-ROW($A$14)</f>
        <v>208</v>
      </c>
      <c r="B222" s="9">
        <f>IF(A222&lt;=$B$8,$B$6+(A222-1)*($B$7-$B$6)/MAX(1,$B$8-1),NA())</f>
        <v>207</v>
      </c>
      <c r="C222" s="9">
        <f>RADIANS(B222)</f>
        <v>3.6128315516282621</v>
      </c>
      <c r="D222" s="9">
        <f>($B$3+$B$4)*COS(C222)-$B$4*COS((($B$3+$B$4)/$B$4)*C222)</f>
        <v>-21.974913144175268</v>
      </c>
      <c r="E222" s="9">
        <f>($B$3+$B$4)*SIN(C222)-$B$4*SIN((($B$3+$B$4)/$B$4)*C222)</f>
        <v>-15.164799964061134</v>
      </c>
      <c r="F222" s="5"/>
      <c r="G222" s="5"/>
      <c r="H222" s="5"/>
    </row>
    <row r="223" spans="1:8" x14ac:dyDescent="0.3">
      <c r="A223" s="9">
        <f>ROW()-ROW($A$14)</f>
        <v>209</v>
      </c>
      <c r="B223" s="9">
        <f>IF(A223&lt;=$B$8,$B$6+(A223-1)*($B$7-$B$6)/MAX(1,$B$8-1),NA())</f>
        <v>208</v>
      </c>
      <c r="C223" s="9">
        <f>RADIANS(B223)</f>
        <v>3.6302848441482056</v>
      </c>
      <c r="D223" s="9">
        <f>($B$3+$B$4)*COS(C223)-$B$4*COS((($B$3+$B$4)/$B$4)*C223)</f>
        <v>-21.597689782098779</v>
      </c>
      <c r="E223" s="9">
        <f>($B$3+$B$4)*SIN(C223)-$B$4*SIN((($B$3+$B$4)/$B$4)*C223)</f>
        <v>-15.123705337665514</v>
      </c>
      <c r="F223" s="5"/>
      <c r="G223" s="5"/>
      <c r="H223" s="5"/>
    </row>
    <row r="224" spans="1:8" x14ac:dyDescent="0.3">
      <c r="A224" s="9">
        <f>ROW()-ROW($A$14)</f>
        <v>210</v>
      </c>
      <c r="B224" s="9">
        <f>IF(A224&lt;=$B$8,$B$6+(A224-1)*($B$7-$B$6)/MAX(1,$B$8-1),NA())</f>
        <v>209</v>
      </c>
      <c r="C224" s="9">
        <f>RADIANS(B224)</f>
        <v>3.6477381366681487</v>
      </c>
      <c r="D224" s="9">
        <f>($B$3+$B$4)*COS(C224)-$B$4*COS((($B$3+$B$4)/$B$4)*C224)</f>
        <v>-21.26598173734051</v>
      </c>
      <c r="E224" s="9">
        <f>($B$3+$B$4)*SIN(C224)-$B$4*SIN((($B$3+$B$4)/$B$4)*C224)</f>
        <v>-15.066930923728382</v>
      </c>
      <c r="F224" s="5"/>
      <c r="G224" s="5"/>
      <c r="H224" s="5"/>
    </row>
    <row r="225" spans="1:8" x14ac:dyDescent="0.3">
      <c r="A225" s="9">
        <f>ROW()-ROW($A$14)</f>
        <v>211</v>
      </c>
      <c r="B225" s="9">
        <f>IF(A225&lt;=$B$8,$B$6+(A225-1)*($B$7-$B$6)/MAX(1,$B$8-1),NA())</f>
        <v>210</v>
      </c>
      <c r="C225" s="9">
        <f>RADIANS(B225)</f>
        <v>3.6651914291880923</v>
      </c>
      <c r="D225" s="9">
        <f>($B$3+$B$4)*COS(C225)-$B$4*COS((($B$3+$B$4)/$B$4)*C225)</f>
        <v>-20.980762113533157</v>
      </c>
      <c r="E225" s="9">
        <f>($B$3+$B$4)*SIN(C225)-$B$4*SIN((($B$3+$B$4)/$B$4)*C225)</f>
        <v>-14.999999999999989</v>
      </c>
      <c r="F225" s="5"/>
      <c r="G225" s="5"/>
      <c r="H225" s="5"/>
    </row>
    <row r="226" spans="1:8" x14ac:dyDescent="0.3">
      <c r="A226" s="9">
        <f>ROW()-ROW($A$14)</f>
        <v>212</v>
      </c>
      <c r="B226" s="9">
        <f>IF(A226&lt;=$B$8,$B$6+(A226-1)*($B$7-$B$6)/MAX(1,$B$8-1),NA())</f>
        <v>211</v>
      </c>
      <c r="C226" s="9">
        <f>RADIANS(B226)</f>
        <v>3.6826447217080354</v>
      </c>
      <c r="D226" s="9">
        <f>($B$3+$B$4)*COS(C226)-$B$4*COS((($B$3+$B$4)/$B$4)*C226)</f>
        <v>-20.742409544222003</v>
      </c>
      <c r="E226" s="9">
        <f>($B$3+$B$4)*SIN(C226)-$B$4*SIN((($B$3+$B$4)/$B$4)*C226)</f>
        <v>-14.928499930963358</v>
      </c>
      <c r="F226" s="5"/>
      <c r="G226" s="5"/>
      <c r="H226" s="5"/>
    </row>
    <row r="227" spans="1:8" x14ac:dyDescent="0.3">
      <c r="A227" s="9">
        <f>ROW()-ROW($A$14)</f>
        <v>213</v>
      </c>
      <c r="B227" s="9">
        <f>IF(A227&lt;=$B$8,$B$6+(A227-1)*($B$7-$B$6)/MAX(1,$B$8-1),NA())</f>
        <v>212</v>
      </c>
      <c r="C227" s="9">
        <f>RADIANS(B227)</f>
        <v>3.7000980142279785</v>
      </c>
      <c r="D227" s="9">
        <f>($B$3+$B$4)*COS(C227)-$B$4*COS((($B$3+$B$4)/$B$4)*C227)</f>
        <v>-20.550704881023751</v>
      </c>
      <c r="E227" s="9">
        <f>($B$3+$B$4)*SIN(C227)-$B$4*SIN((($B$3+$B$4)/$B$4)*C227)</f>
        <v>-14.858019472907364</v>
      </c>
      <c r="F227" s="5"/>
      <c r="G227" s="5"/>
      <c r="H227" s="5"/>
    </row>
    <row r="228" spans="1:8" x14ac:dyDescent="0.3">
      <c r="A228" s="9">
        <f>ROW()-ROW($A$14)</f>
        <v>214</v>
      </c>
      <c r="B228" s="9">
        <f>IF(A228&lt;=$B$8,$B$6+(A228-1)*($B$7-$B$6)/MAX(1,$B$8-1),NA())</f>
        <v>213</v>
      </c>
      <c r="C228" s="9">
        <f>RADIANS(B228)</f>
        <v>3.717551306747922</v>
      </c>
      <c r="D228" s="9">
        <f>($B$3+$B$4)*COS(C228)-$B$4*COS((($B$3+$B$4)/$B$4)*C228)</f>
        <v>-20.404834456886952</v>
      </c>
      <c r="E228" s="9">
        <f>($B$3+$B$4)*SIN(C228)-$B$4*SIN((($B$3+$B$4)/$B$4)*C228)</f>
        <v>-14.79408607857607</v>
      </c>
      <c r="F228" s="5"/>
      <c r="G228" s="5"/>
      <c r="H228" s="5"/>
    </row>
    <row r="229" spans="1:8" x14ac:dyDescent="0.3">
      <c r="A229" s="9">
        <f>ROW()-ROW($A$14)</f>
        <v>215</v>
      </c>
      <c r="B229" s="9">
        <f>IF(A229&lt;=$B$8,$B$6+(A229-1)*($B$7-$B$6)/MAX(1,$B$8-1),NA())</f>
        <v>214</v>
      </c>
      <c r="C229" s="9">
        <f>RADIANS(B229)</f>
        <v>3.7350045992678651</v>
      </c>
      <c r="D229" s="9">
        <f>($B$3+$B$4)*COS(C229)-$B$4*COS((($B$3+$B$4)/$B$4)*C229)</f>
        <v>-20.30339988843825</v>
      </c>
      <c r="E229" s="9">
        <f>($B$3+$B$4)*SIN(C229)-$B$4*SIN((($B$3+$B$4)/$B$4)*C229)</f>
        <v>-14.74210388874341</v>
      </c>
      <c r="F229" s="5"/>
      <c r="G229" s="5"/>
      <c r="H229" s="5"/>
    </row>
    <row r="230" spans="1:8" x14ac:dyDescent="0.3">
      <c r="A230" s="9">
        <f>ROW()-ROW($A$14)</f>
        <v>216</v>
      </c>
      <c r="B230" s="9">
        <f>IF(A230&lt;=$B$8,$B$6+(A230-1)*($B$7-$B$6)/MAX(1,$B$8-1),NA())</f>
        <v>215</v>
      </c>
      <c r="C230" s="9">
        <f>RADIANS(B230)</f>
        <v>3.7524578917878086</v>
      </c>
      <c r="D230" s="9">
        <f>($B$3+$B$4)*COS(C230)-$B$4*COS((($B$3+$B$4)/$B$4)*C230)</f>
        <v>-20.244434309747557</v>
      </c>
      <c r="E230" s="9">
        <f>($B$3+$B$4)*SIN(C230)-$B$4*SIN((($B$3+$B$4)/$B$4)*C230)</f>
        <v>-14.70729309053139</v>
      </c>
      <c r="F230" s="5"/>
      <c r="G230" s="5"/>
      <c r="H230" s="5"/>
    </row>
    <row r="231" spans="1:8" x14ac:dyDescent="0.3">
      <c r="A231" s="9">
        <f>ROW()-ROW($A$14)</f>
        <v>217</v>
      </c>
      <c r="B231" s="9">
        <f>IF(A231&lt;=$B$8,$B$6+(A231-1)*($B$7-$B$6)/MAX(1,$B$8-1),NA())</f>
        <v>216</v>
      </c>
      <c r="C231" s="9">
        <f>RADIANS(B231)</f>
        <v>3.7699111843077517</v>
      </c>
      <c r="D231" s="9">
        <f>($B$3+$B$4)*COS(C231)-$B$4*COS((($B$3+$B$4)/$B$4)*C231)</f>
        <v>-20.225424859373685</v>
      </c>
      <c r="E231" s="9">
        <f>($B$3+$B$4)*SIN(C231)-$B$4*SIN((($B$3+$B$4)/$B$4)*C231)</f>
        <v>-14.694631307311827</v>
      </c>
      <c r="F231" s="5"/>
      <c r="G231" s="5"/>
      <c r="H231" s="5"/>
    </row>
    <row r="232" spans="1:8" x14ac:dyDescent="0.3">
      <c r="A232" s="9">
        <f>ROW()-ROW($A$14)</f>
        <v>218</v>
      </c>
      <c r="B232" s="9">
        <f>IF(A232&lt;=$B$8,$B$6+(A232-1)*($B$7-$B$6)/MAX(1,$B$8-1),NA())</f>
        <v>217</v>
      </c>
      <c r="C232" s="9">
        <f>RADIANS(B232)</f>
        <v>3.7873644768276953</v>
      </c>
      <c r="D232" s="9">
        <f>($B$3+$B$4)*COS(C232)-$B$4*COS((($B$3+$B$4)/$B$4)*C232)</f>
        <v>-20.243341174031812</v>
      </c>
      <c r="E232" s="9">
        <f>($B$3+$B$4)*SIN(C232)-$B$4*SIN((($B$3+$B$4)/$B$4)*C232)</f>
        <v>-14.708797662767163</v>
      </c>
      <c r="F232" s="5"/>
      <c r="G232" s="5"/>
      <c r="H232" s="5"/>
    </row>
    <row r="233" spans="1:8" x14ac:dyDescent="0.3">
      <c r="A233" s="9">
        <f>ROW()-ROW($A$14)</f>
        <v>219</v>
      </c>
      <c r="B233" s="9">
        <f>IF(A233&lt;=$B$8,$B$6+(A233-1)*($B$7-$B$6)/MAX(1,$B$8-1),NA())</f>
        <v>218</v>
      </c>
      <c r="C233" s="9">
        <f>RADIANS(B233)</f>
        <v>3.8048177693476384</v>
      </c>
      <c r="D233" s="9">
        <f>($B$3+$B$4)*COS(C233)-$B$4*COS((($B$3+$B$4)/$B$4)*C233)</f>
        <v>-20.294669576407372</v>
      </c>
      <c r="E233" s="9">
        <f>($B$3+$B$4)*SIN(C233)-$B$4*SIN((($B$3+$B$4)/$B$4)*C233)</f>
        <v>-14.754120132382772</v>
      </c>
      <c r="F233" s="5"/>
      <c r="G233" s="5"/>
      <c r="H233" s="5"/>
    </row>
    <row r="234" spans="1:8" x14ac:dyDescent="0.3">
      <c r="A234" s="9">
        <f>ROW()-ROW($A$14)</f>
        <v>220</v>
      </c>
      <c r="B234" s="9">
        <f>IF(A234&lt;=$B$8,$B$6+(A234-1)*($B$7-$B$6)/MAX(1,$B$8-1),NA())</f>
        <v>219</v>
      </c>
      <c r="C234" s="9">
        <f>RADIANS(B234)</f>
        <v>3.8222710618675819</v>
      </c>
      <c r="D234" s="9">
        <f>($B$3+$B$4)*COS(C234)-$B$4*COS((($B$3+$B$4)/$B$4)*C234)</f>
        <v>-20.375452582246762</v>
      </c>
      <c r="E234" s="9">
        <f>($B$3+$B$4)*SIN(C234)-$B$4*SIN((($B$3+$B$4)/$B$4)*C234)</f>
        <v>-14.834526759620388</v>
      </c>
      <c r="F234" s="5"/>
      <c r="G234" s="5"/>
      <c r="H234" s="5"/>
    </row>
    <row r="235" spans="1:8" x14ac:dyDescent="0.3">
      <c r="A235" s="9">
        <f>ROW()-ROW($A$14)</f>
        <v>221</v>
      </c>
      <c r="B235" s="9">
        <f>IF(A235&lt;=$B$8,$B$6+(A235-1)*($B$7-$B$6)/MAX(1,$B$8-1),NA())</f>
        <v>220</v>
      </c>
      <c r="C235" s="9">
        <f>RADIANS(B235)</f>
        <v>3.839724354387525</v>
      </c>
      <c r="D235" s="9">
        <f>($B$3+$B$4)*COS(C235)-$B$4*COS((($B$3+$B$4)/$B$4)*C235)</f>
        <v>-20.481333293569346</v>
      </c>
      <c r="E235" s="9">
        <f>($B$3+$B$4)*SIN(C235)-$B$4*SIN((($B$3+$B$4)/$B$4)*C235)</f>
        <v>-14.953501271673979</v>
      </c>
      <c r="F235" s="5"/>
      <c r="G235" s="5"/>
      <c r="H235" s="5"/>
    </row>
    <row r="236" spans="1:8" x14ac:dyDescent="0.3">
      <c r="A236" s="9">
        <f>ROW()-ROW($A$14)</f>
        <v>222</v>
      </c>
      <c r="B236" s="9">
        <f>IF(A236&lt;=$B$8,$B$6+(A236-1)*($B$7-$B$6)/MAX(1,$B$8-1),NA())</f>
        <v>221</v>
      </c>
      <c r="C236" s="9">
        <f>RADIANS(B236)</f>
        <v>3.8571776469074681</v>
      </c>
      <c r="D236" s="9">
        <f>($B$3+$B$4)*COS(C236)-$B$4*COS((($B$3+$B$4)/$B$4)*C236)</f>
        <v>-20.607604191304155</v>
      </c>
      <c r="E236" s="9">
        <f>($B$3+$B$4)*SIN(C236)-$B$4*SIN((($B$3+$B$4)/$B$4)*C236)</f>
        <v>-15.114043581502211</v>
      </c>
      <c r="F236" s="5"/>
      <c r="G236" s="5"/>
      <c r="H236" s="5"/>
    </row>
    <row r="237" spans="1:8" x14ac:dyDescent="0.3">
      <c r="A237" s="9">
        <f>ROW()-ROW($A$14)</f>
        <v>223</v>
      </c>
      <c r="B237" s="9">
        <f>IF(A237&lt;=$B$8,$B$6+(A237-1)*($B$7-$B$6)/MAX(1,$B$8-1),NA())</f>
        <v>222</v>
      </c>
      <c r="C237" s="9">
        <f>RADIANS(B237)</f>
        <v>3.8746309394274117</v>
      </c>
      <c r="D237" s="9">
        <f>($B$3+$B$4)*COS(C237)-$B$4*COS((($B$3+$B$4)/$B$4)*C237)</f>
        <v>-20.749259792447088</v>
      </c>
      <c r="E237" s="9">
        <f>($B$3+$B$4)*SIN(C237)-$B$4*SIN((($B$3+$B$4)/$B$4)*C237)</f>
        <v>-15.318635609289979</v>
      </c>
      <c r="F237" s="5"/>
      <c r="G237" s="5"/>
      <c r="H237" s="5"/>
    </row>
    <row r="238" spans="1:8" x14ac:dyDescent="0.3">
      <c r="A238" s="9">
        <f>ROW()-ROW($A$14)</f>
        <v>224</v>
      </c>
      <c r="B238" s="9">
        <f>IF(A238&lt;=$B$8,$B$6+(A238-1)*($B$7-$B$6)/MAX(1,$B$8-1),NA())</f>
        <v>223</v>
      </c>
      <c r="C238" s="9">
        <f>RADIANS(B238)</f>
        <v>3.8920842319473548</v>
      </c>
      <c r="D238" s="9">
        <f>($B$3+$B$4)*COS(C238)-$B$4*COS((($B$3+$B$4)/$B$4)*C238)</f>
        <v>-20.90105259448632</v>
      </c>
      <c r="E238" s="9">
        <f>($B$3+$B$4)*SIN(C238)-$B$4*SIN((($B$3+$B$4)/$B$4)*C238)</f>
        <v>-15.569212798205921</v>
      </c>
      <c r="F238" s="5"/>
      <c r="G238" s="5"/>
      <c r="H238" s="5"/>
    </row>
    <row r="239" spans="1:8" x14ac:dyDescent="0.3">
      <c r="A239" s="9">
        <f>ROW()-ROW($A$14)</f>
        <v>225</v>
      </c>
      <c r="B239" s="9">
        <f>IF(A239&lt;=$B$8,$B$6+(A239-1)*($B$7-$B$6)/MAX(1,$B$8-1),NA())</f>
        <v>224</v>
      </c>
      <c r="C239" s="9">
        <f>RADIANS(B239)</f>
        <v>3.9095375244672983</v>
      </c>
      <c r="D239" s="9">
        <f>($B$3+$B$4)*COS(C239)-$B$4*COS((($B$3+$B$4)/$B$4)*C239)</f>
        <v>-21.057551693821264</v>
      </c>
      <c r="E239" s="9">
        <f>($B$3+$B$4)*SIN(C239)-$B$4*SIN((($B$3+$B$4)/$B$4)*C239)</f>
        <v>-15.867141636928555</v>
      </c>
      <c r="F239" s="5"/>
      <c r="G239" s="5"/>
      <c r="H239" s="5"/>
    </row>
    <row r="240" spans="1:8" x14ac:dyDescent="0.3">
      <c r="A240" s="9">
        <f>ROW()-ROW($A$14)</f>
        <v>226</v>
      </c>
      <c r="B240" s="9">
        <f>IF(A240&lt;=$B$8,$B$6+(A240-1)*($B$7-$B$6)/MAX(1,$B$8-1),NA())</f>
        <v>225</v>
      </c>
      <c r="C240" s="9">
        <f>RADIANS(B240)</f>
        <v>3.9269908169872414</v>
      </c>
      <c r="D240" s="9">
        <f>($B$3+$B$4)*COS(C240)-$B$4*COS((($B$3+$B$4)/$B$4)*C240)</f>
        <v>-21.213203435596416</v>
      </c>
      <c r="E240" s="9">
        <f>($B$3+$B$4)*SIN(C240)-$B$4*SIN((($B$3+$B$4)/$B$4)*C240)</f>
        <v>-16.213203435596423</v>
      </c>
      <c r="F240" s="5"/>
      <c r="G240" s="5"/>
      <c r="H240" s="5"/>
    </row>
    <row r="241" spans="1:8" x14ac:dyDescent="0.3">
      <c r="A241" s="9">
        <f>ROW()-ROW($A$14)</f>
        <v>227</v>
      </c>
      <c r="B241" s="9">
        <f>IF(A241&lt;=$B$8,$B$6+(A241-1)*($B$7-$B$6)/MAX(1,$B$8-1),NA())</f>
        <v>226</v>
      </c>
      <c r="C241" s="9">
        <f>RADIANS(B241)</f>
        <v>3.9444441095071849</v>
      </c>
      <c r="D241" s="9">
        <f>($B$3+$B$4)*COS(C241)-$B$4*COS((($B$3+$B$4)/$B$4)*C241)</f>
        <v>-21.362393430108192</v>
      </c>
      <c r="E241" s="9">
        <f>($B$3+$B$4)*SIN(C241)-$B$4*SIN((($B$3+$B$4)/$B$4)*C241)</f>
        <v>-16.607584533318168</v>
      </c>
      <c r="F241" s="5"/>
      <c r="G241" s="5"/>
      <c r="H241" s="5"/>
    </row>
    <row r="242" spans="1:8" x14ac:dyDescent="0.3">
      <c r="A242" s="9">
        <f>ROW()-ROW($A$14)</f>
        <v>228</v>
      </c>
      <c r="B242" s="9">
        <f>IF(A242&lt;=$B$8,$B$6+(A242-1)*($B$7-$B$6)/MAX(1,$B$8-1),NA())</f>
        <v>227</v>
      </c>
      <c r="C242" s="9">
        <f>RADIANS(B242)</f>
        <v>3.961897402027128</v>
      </c>
      <c r="D242" s="9">
        <f>($B$3+$B$4)*COS(C242)-$B$4*COS((($B$3+$B$4)/$B$4)*C242)</f>
        <v>-21.499509255963744</v>
      </c>
      <c r="E242" s="9">
        <f>($B$3+$B$4)*SIN(C242)-$B$4*SIN((($B$3+$B$4)/$B$4)*C242)</f>
        <v>-17.049873044906086</v>
      </c>
      <c r="F242" s="5"/>
      <c r="G242" s="5"/>
      <c r="H242" s="5"/>
    </row>
    <row r="243" spans="1:8" x14ac:dyDescent="0.3">
      <c r="A243" s="9">
        <f>ROW()-ROW($A$14)</f>
        <v>229</v>
      </c>
      <c r="B243" s="9">
        <f>IF(A243&lt;=$B$8,$B$6+(A243-1)*($B$7-$B$6)/MAX(1,$B$8-1),NA())</f>
        <v>228</v>
      </c>
      <c r="C243" s="9">
        <f>RADIANS(B243)</f>
        <v>3.9793506945470716</v>
      </c>
      <c r="D243" s="9">
        <f>($B$3+$B$4)*COS(C243)-$B$4*COS((($B$3+$B$4)/$B$4)*C243)</f>
        <v>-21.619003162640478</v>
      </c>
      <c r="E243" s="9">
        <f>($B$3+$B$4)*SIN(C243)-$B$4*SIN((($B$3+$B$4)/$B$4)*C243)</f>
        <v>-17.539062182846063</v>
      </c>
      <c r="F243" s="5"/>
      <c r="G243" s="5"/>
      <c r="H243" s="5"/>
    </row>
    <row r="244" spans="1:8" x14ac:dyDescent="0.3">
      <c r="A244" s="9">
        <f>ROW()-ROW($A$14)</f>
        <v>230</v>
      </c>
      <c r="B244" s="9">
        <f>IF(A244&lt;=$B$8,$B$6+(A244-1)*($B$7-$B$6)/MAX(1,$B$8-1),NA())</f>
        <v>229</v>
      </c>
      <c r="C244" s="9">
        <f>RADIANS(B244)</f>
        <v>3.9968039870670147</v>
      </c>
      <c r="D244" s="9">
        <f>($B$3+$B$4)*COS(C244)-$B$4*COS((($B$3+$B$4)/$B$4)*C244)</f>
        <v>-21.715454085094219</v>
      </c>
      <c r="E244" s="9">
        <f>($B$3+$B$4)*SIN(C244)-$B$4*SIN((($B$3+$B$4)/$B$4)*C244)</f>
        <v>-18.073560118470155</v>
      </c>
      <c r="F244" s="5"/>
      <c r="G244" s="5"/>
      <c r="H244" s="5"/>
    </row>
    <row r="245" spans="1:8" x14ac:dyDescent="0.3">
      <c r="A245" s="9">
        <f>ROW()-ROW($A$14)</f>
        <v>231</v>
      </c>
      <c r="B245" s="9">
        <f>IF(A245&lt;=$B$8,$B$6+(A245-1)*($B$7-$B$6)/MAX(1,$B$8-1),NA())</f>
        <v>230</v>
      </c>
      <c r="C245" s="9">
        <f>RADIANS(B245)</f>
        <v>4.0142572795869578</v>
      </c>
      <c r="D245" s="9">
        <f>($B$3+$B$4)*COS(C245)-$B$4*COS((($B$3+$B$4)/$B$4)*C245)</f>
        <v>-21.783628290596184</v>
      </c>
      <c r="E245" s="9">
        <f>($B$3+$B$4)*SIN(C245)-$B$4*SIN((($B$3+$B$4)/$B$4)*C245)</f>
        <v>-18.651206274647144</v>
      </c>
      <c r="F245" s="5"/>
      <c r="G245" s="5"/>
      <c r="H245" s="5"/>
    </row>
    <row r="246" spans="1:8" x14ac:dyDescent="0.3">
      <c r="A246" s="9">
        <f>ROW()-ROW($A$14)</f>
        <v>232</v>
      </c>
      <c r="B246" s="9">
        <f>IF(A246&lt;=$B$8,$B$6+(A246-1)*($B$7-$B$6)/MAX(1,$B$8-1),NA())</f>
        <v>231</v>
      </c>
      <c r="C246" s="9">
        <f>RADIANS(B246)</f>
        <v>4.0317105721069009</v>
      </c>
      <c r="D246" s="9">
        <f>($B$3+$B$4)*COS(C246)-$B$4*COS((($B$3+$B$4)/$B$4)*C246)</f>
        <v>-21.818537992957488</v>
      </c>
      <c r="E246" s="9">
        <f>($B$3+$B$4)*SIN(C246)-$B$4*SIN((($B$3+$B$4)/$B$4)*C246)</f>
        <v>-19.269293871834371</v>
      </c>
      <c r="F246" s="5"/>
      <c r="G246" s="5"/>
      <c r="H246" s="5"/>
    </row>
    <row r="247" spans="1:8" x14ac:dyDescent="0.3">
      <c r="A247" s="9">
        <f>ROW()-ROW($A$14)</f>
        <v>233</v>
      </c>
      <c r="B247" s="9">
        <f>IF(A247&lt;=$B$8,$B$6+(A247-1)*($B$7-$B$6)/MAX(1,$B$8-1),NA())</f>
        <v>232</v>
      </c>
      <c r="C247" s="9">
        <f>RADIANS(B247)</f>
        <v>4.0491638646268449</v>
      </c>
      <c r="D247" s="9">
        <f>($B$3+$B$4)*COS(C247)-$B$4*COS((($B$3+$B$4)/$B$4)*C247)</f>
        <v>-21.815497291564039</v>
      </c>
      <c r="E247" s="9">
        <f>($B$3+$B$4)*SIN(C247)-$B$4*SIN((($B$3+$B$4)/$B$4)*C247)</f>
        <v>-19.924598480814698</v>
      </c>
      <c r="F247" s="5"/>
      <c r="G247" s="5"/>
      <c r="H247" s="5"/>
    </row>
    <row r="248" spans="1:8" x14ac:dyDescent="0.3">
      <c r="A248" s="9">
        <f>ROW()-ROW($A$14)</f>
        <v>234</v>
      </c>
      <c r="B248" s="9">
        <f>IF(A248&lt;=$B$8,$B$6+(A248-1)*($B$7-$B$6)/MAX(1,$B$8-1),NA())</f>
        <v>233</v>
      </c>
      <c r="C248" s="9">
        <f>RADIANS(B248)</f>
        <v>4.066617157146788</v>
      </c>
      <c r="D248" s="9">
        <f>($B$3+$B$4)*COS(C248)-$B$4*COS((($B$3+$B$4)/$B$4)*C248)</f>
        <v>-21.770174821948427</v>
      </c>
      <c r="E248" s="9">
        <f>($B$3+$B$4)*SIN(C248)-$B$4*SIN((($B$3+$B$4)/$B$4)*C248)</f>
        <v>-20.613412269624504</v>
      </c>
      <c r="F248" s="5"/>
      <c r="G248" s="5"/>
      <c r="H248" s="5"/>
    </row>
    <row r="249" spans="1:8" x14ac:dyDescent="0.3">
      <c r="A249" s="9">
        <f>ROW()-ROW($A$14)</f>
        <v>235</v>
      </c>
      <c r="B249" s="9">
        <f>IF(A249&lt;=$B$8,$B$6+(A249-1)*($B$7-$B$6)/MAX(1,$B$8-1),NA())</f>
        <v>234</v>
      </c>
      <c r="C249" s="9">
        <f>RADIANS(B249)</f>
        <v>4.0840704496667311</v>
      </c>
      <c r="D249" s="9">
        <f>($B$3+$B$4)*COS(C249)-$B$4*COS((($B$3+$B$4)/$B$4)*C249)</f>
        <v>-21.67864254064893</v>
      </c>
      <c r="E249" s="9">
        <f>($B$3+$B$4)*SIN(C249)-$B$4*SIN((($B$3+$B$4)/$B$4)*C249)</f>
        <v>-21.331583569786051</v>
      </c>
      <c r="F249" s="5"/>
      <c r="G249" s="5"/>
      <c r="H249" s="5"/>
    </row>
    <row r="250" spans="1:8" x14ac:dyDescent="0.3">
      <c r="A250" s="9">
        <f>ROW()-ROW($A$14)</f>
        <v>236</v>
      </c>
      <c r="B250" s="9">
        <f>IF(A250&lt;=$B$8,$B$6+(A250-1)*($B$7-$B$6)/MAX(1,$B$8-1),NA())</f>
        <v>235</v>
      </c>
      <c r="C250" s="9">
        <f>RADIANS(B250)</f>
        <v>4.1015237421866741</v>
      </c>
      <c r="D250" s="9">
        <f>($B$3+$B$4)*COS(C250)-$B$4*COS((($B$3+$B$4)/$B$4)*C250)</f>
        <v>-21.537420109453574</v>
      </c>
      <c r="E250" s="9">
        <f>($B$3+$B$4)*SIN(C250)-$B$4*SIN((($B$3+$B$4)/$B$4)*C250)</f>
        <v>-22.074561328669731</v>
      </c>
      <c r="F250" s="5"/>
      <c r="G250" s="5"/>
      <c r="H250" s="5"/>
    </row>
    <row r="251" spans="1:8" x14ac:dyDescent="0.3">
      <c r="A251" s="9">
        <f>ROW()-ROW($A$14)</f>
        <v>237</v>
      </c>
      <c r="B251" s="9">
        <f>IF(A251&lt;=$B$8,$B$6+(A251-1)*($B$7-$B$6)/MAX(1,$B$8-1),NA())</f>
        <v>236</v>
      </c>
      <c r="C251" s="9">
        <f>RADIANS(B251)</f>
        <v>4.1189770347066181</v>
      </c>
      <c r="D251" s="9">
        <f>($B$3+$B$4)*COS(C251)-$B$4*COS((($B$3+$B$4)/$B$4)*C251)</f>
        <v>-21.343514392335408</v>
      </c>
      <c r="E251" s="9">
        <f>($B$3+$B$4)*SIN(C251)-$B$4*SIN((($B$3+$B$4)/$B$4)*C251)</f>
        <v>-22.837443961272271</v>
      </c>
      <c r="F251" s="5"/>
      <c r="G251" s="5"/>
      <c r="H251" s="5"/>
    </row>
    <row r="252" spans="1:8" x14ac:dyDescent="0.3">
      <c r="A252" s="9">
        <f>ROW()-ROW($A$14)</f>
        <v>238</v>
      </c>
      <c r="B252" s="9">
        <f>IF(A252&lt;=$B$8,$B$6+(A252-1)*($B$7-$B$6)/MAX(1,$B$8-1),NA())</f>
        <v>237</v>
      </c>
      <c r="C252" s="9">
        <f>RADIANS(B252)</f>
        <v>4.1364303272265612</v>
      </c>
      <c r="D252" s="9">
        <f>($B$3+$B$4)*COS(C252)-$B$4*COS((($B$3+$B$4)/$B$4)*C252)</f>
        <v>-21.094453631926577</v>
      </c>
      <c r="E252" s="9">
        <f>($B$3+$B$4)*SIN(C252)-$B$4*SIN((($B$3+$B$4)/$B$4)*C252)</f>
        <v>-23.615032066487988</v>
      </c>
      <c r="F252" s="5"/>
      <c r="G252" s="5"/>
      <c r="H252" s="5"/>
    </row>
    <row r="253" spans="1:8" x14ac:dyDescent="0.3">
      <c r="A253" s="9">
        <f>ROW()-ROW($A$14)</f>
        <v>239</v>
      </c>
      <c r="B253" s="9">
        <f>IF(A253&lt;=$B$8,$B$6+(A253-1)*($B$7-$B$6)/MAX(1,$B$8-1),NA())</f>
        <v>238</v>
      </c>
      <c r="C253" s="9">
        <f>RADIANS(B253)</f>
        <v>4.1538836197465043</v>
      </c>
      <c r="D253" s="9">
        <f>($B$3+$B$4)*COS(C253)-$B$4*COS((($B$3+$B$4)/$B$4)*C253)</f>
        <v>-20.788315930665178</v>
      </c>
      <c r="E253" s="9">
        <f>($B$3+$B$4)*SIN(C253)-$B$4*SIN((($B$3+$B$4)/$B$4)*C253)</f>
        <v>-24.401884430603971</v>
      </c>
      <c r="F253" s="5"/>
      <c r="G253" s="5"/>
      <c r="H253" s="5"/>
    </row>
    <row r="254" spans="1:8" x14ac:dyDescent="0.3">
      <c r="A254" s="9">
        <f>ROW()-ROW($A$14)</f>
        <v>240</v>
      </c>
      <c r="B254" s="9">
        <f>IF(A254&lt;=$B$8,$B$6+(A254-1)*($B$7-$B$6)/MAX(1,$B$8-1),NA())</f>
        <v>239</v>
      </c>
      <c r="C254" s="9">
        <f>RADIANS(B254)</f>
        <v>4.1713369122664474</v>
      </c>
      <c r="D254" s="9">
        <f>($B$3+$B$4)*COS(C254)-$B$4*COS((($B$3+$B$4)/$B$4)*C254)</f>
        <v>-20.423751724142999</v>
      </c>
      <c r="E254" s="9">
        <f>($B$3+$B$4)*SIN(C254)-$B$4*SIN((($B$3+$B$4)/$B$4)*C254)</f>
        <v>-25.192376704725088</v>
      </c>
      <c r="F254" s="5"/>
      <c r="G254" s="5"/>
      <c r="H254" s="5"/>
    </row>
    <row r="255" spans="1:8" x14ac:dyDescent="0.3">
      <c r="A255" s="9">
        <f>ROW()-ROW($A$14)</f>
        <v>241</v>
      </c>
      <c r="B255" s="9">
        <f>IF(A255&lt;=$B$8,$B$6+(A255-1)*($B$7-$B$6)/MAX(1,$B$8-1),NA())</f>
        <v>240</v>
      </c>
      <c r="C255" s="9">
        <f>RADIANS(B255)</f>
        <v>4.1887902047863905</v>
      </c>
      <c r="D255" s="9">
        <f>($B$3+$B$4)*COS(C255)-$B$4*COS((($B$3+$B$4)/$B$4)*C255)</f>
        <v>-20.000000000000014</v>
      </c>
      <c r="E255" s="9">
        <f>($B$3+$B$4)*SIN(C255)-$B$4*SIN((($B$3+$B$4)/$B$4)*C255)</f>
        <v>-25.980762113533149</v>
      </c>
      <c r="F255" s="5"/>
      <c r="G255" s="5"/>
      <c r="H255" s="5"/>
    </row>
    <row r="256" spans="1:8" x14ac:dyDescent="0.3">
      <c r="A256" s="9">
        <f>ROW()-ROW($A$14)</f>
        <v>242</v>
      </c>
      <c r="B256" s="9">
        <f>IF(A256&lt;=$B$8,$B$6+(A256-1)*($B$7-$B$6)/MAX(1,$B$8-1),NA())</f>
        <v>241</v>
      </c>
      <c r="C256" s="9">
        <f>RADIANS(B256)</f>
        <v>4.2062434973063345</v>
      </c>
      <c r="D256" s="9">
        <f>($B$3+$B$4)*COS(C256)-$B$4*COS((($B$3+$B$4)/$B$4)*C256)</f>
        <v>-19.516898084231471</v>
      </c>
      <c r="E256" s="9">
        <f>($B$3+$B$4)*SIN(C256)-$B$4*SIN((($B$3+$B$4)/$B$4)*C256)</f>
        <v>-26.761233530520148</v>
      </c>
      <c r="F256" s="5"/>
      <c r="G256" s="5"/>
      <c r="H256" s="5"/>
    </row>
    <row r="257" spans="1:8" x14ac:dyDescent="0.3">
      <c r="A257" s="9">
        <f>ROW()-ROW($A$14)</f>
        <v>243</v>
      </c>
      <c r="B257" s="9">
        <f>IF(A257&lt;=$B$8,$B$6+(A257-1)*($B$7-$B$6)/MAX(1,$B$8-1),NA())</f>
        <v>242</v>
      </c>
      <c r="C257" s="9">
        <f>RADIANS(B257)</f>
        <v>4.2236967898262776</v>
      </c>
      <c r="D257" s="9">
        <f>($B$3+$B$4)*COS(C257)-$B$4*COS((($B$3+$B$4)/$B$4)*C257)</f>
        <v>-18.97488488724575</v>
      </c>
      <c r="E257" s="9">
        <f>($B$3+$B$4)*SIN(C257)-$B$4*SIN((($B$3+$B$4)/$B$4)*C257)</f>
        <v>-27.52798623985661</v>
      </c>
      <c r="F257" s="5"/>
      <c r="G257" s="5"/>
      <c r="H257" s="5"/>
    </row>
    <row r="258" spans="1:8" x14ac:dyDescent="0.3">
      <c r="A258" s="9">
        <f>ROW()-ROW($A$14)</f>
        <v>244</v>
      </c>
      <c r="B258" s="9">
        <f>IF(A258&lt;=$B$8,$B$6+(A258-1)*($B$7-$B$6)/MAX(1,$B$8-1),NA())</f>
        <v>243</v>
      </c>
      <c r="C258" s="9">
        <f>RADIANS(B258)</f>
        <v>4.2411500823462207</v>
      </c>
      <c r="D258" s="9">
        <f>($B$3+$B$4)*COS(C258)-$B$4*COS((($B$3+$B$4)/$B$4)*C258)</f>
        <v>-18.374997573662174</v>
      </c>
      <c r="E258" s="9">
        <f>($B$3+$B$4)*SIN(C258)-$B$4*SIN((($B$3+$B$4)/$B$4)*C258)</f>
        <v>-28.275280697525773</v>
      </c>
      <c r="F258" s="5"/>
      <c r="G258" s="5"/>
      <c r="H258" s="5"/>
    </row>
    <row r="259" spans="1:8" x14ac:dyDescent="0.3">
      <c r="A259" s="9">
        <f>ROW()-ROW($A$14)</f>
        <v>245</v>
      </c>
      <c r="B259" s="9">
        <f>IF(A259&lt;=$B$8,$B$6+(A259-1)*($B$7-$B$6)/MAX(1,$B$8-1),NA())</f>
        <v>244</v>
      </c>
      <c r="C259" s="9">
        <f>RADIANS(B259)</f>
        <v>4.2586033748661638</v>
      </c>
      <c r="D259" s="9">
        <f>($B$3+$B$4)*COS(C259)-$B$4*COS((($B$3+$B$4)/$B$4)*C259)</f>
        <v>-17.718861691885341</v>
      </c>
      <c r="E259" s="9">
        <f>($B$3+$B$4)*SIN(C259)-$B$4*SIN((($B$3+$B$4)/$B$4)*C259)</f>
        <v>-28.997504604353999</v>
      </c>
      <c r="F259" s="5"/>
      <c r="G259" s="5"/>
      <c r="H259" s="5"/>
    </row>
    <row r="260" spans="1:8" x14ac:dyDescent="0.3">
      <c r="A260" s="9">
        <f>ROW()-ROW($A$14)</f>
        <v>246</v>
      </c>
      <c r="B260" s="9">
        <f>IF(A260&lt;=$B$8,$B$6+(A260-1)*($B$7-$B$6)/MAX(1,$B$8-1),NA())</f>
        <v>245</v>
      </c>
      <c r="C260" s="9">
        <f>RADIANS(B260)</f>
        <v>4.2760566673861078</v>
      </c>
      <c r="D260" s="9">
        <f>($B$3+$B$4)*COS(C260)-$B$4*COS((($B$3+$B$4)/$B$4)*C260)</f>
        <v>-17.008674871143164</v>
      </c>
      <c r="E260" s="9">
        <f>($B$3+$B$4)*SIN(C260)-$B$4*SIN((($B$3+$B$4)/$B$4)*C260)</f>
        <v>-29.68923361109951</v>
      </c>
      <c r="F260" s="5"/>
      <c r="G260" s="5"/>
      <c r="H260" s="5"/>
    </row>
    <row r="261" spans="1:8" x14ac:dyDescent="0.3">
      <c r="A261" s="9">
        <f>ROW()-ROW($A$14)</f>
        <v>247</v>
      </c>
      <c r="B261" s="9">
        <f>IF(A261&lt;=$B$8,$B$6+(A261-1)*($B$7-$B$6)/MAX(1,$B$8-1),NA())</f>
        <v>246</v>
      </c>
      <c r="C261" s="9">
        <f>RADIANS(B261)</f>
        <v>4.2935099599060509</v>
      </c>
      <c r="D261" s="9">
        <f>($B$3+$B$4)*COS(C261)-$B$4*COS((($B$3+$B$4)/$B$4)*C261)</f>
        <v>-16.247184264148732</v>
      </c>
      <c r="E261" s="9">
        <f>($B$3+$B$4)*SIN(C261)-$B$4*SIN((($B$3+$B$4)/$B$4)*C261)</f>
        <v>-30.345289990740405</v>
      </c>
      <c r="F261" s="5"/>
      <c r="G261" s="5"/>
      <c r="H261" s="5"/>
    </row>
    <row r="262" spans="1:8" x14ac:dyDescent="0.3">
      <c r="A262" s="9">
        <f>ROW()-ROW($A$14)</f>
        <v>248</v>
      </c>
      <c r="B262" s="9">
        <f>IF(A262&lt;=$B$8,$B$6+(A262-1)*($B$7-$B$6)/MAX(1,$B$8-1),NA())</f>
        <v>247</v>
      </c>
      <c r="C262" s="9">
        <f>RADIANS(B262)</f>
        <v>4.310963252425994</v>
      </c>
      <c r="D262" s="9">
        <f>($B$3+$B$4)*COS(C262)-$B$4*COS((($B$3+$B$4)/$B$4)*C262)</f>
        <v>-15.437657982065186</v>
      </c>
      <c r="E262" s="9">
        <f>($B$3+$B$4)*SIN(C262)-$B$4*SIN((($B$3+$B$4)/$B$4)*C262)</f>
        <v>-30.960798635367496</v>
      </c>
      <c r="F262" s="5"/>
      <c r="G262" s="5"/>
      <c r="H262" s="5"/>
    </row>
    <row r="263" spans="1:8" x14ac:dyDescent="0.3">
      <c r="A263" s="9">
        <f>ROW()-ROW($A$14)</f>
        <v>249</v>
      </c>
      <c r="B263" s="9">
        <f>IF(A263&lt;=$B$8,$B$6+(A263-1)*($B$7-$B$6)/MAX(1,$B$8-1),NA())</f>
        <v>248</v>
      </c>
      <c r="C263" s="9">
        <f>RADIANS(B263)</f>
        <v>4.3284165449459371</v>
      </c>
      <c r="D263" s="9">
        <f>($B$3+$B$4)*COS(C263)-$B$4*COS((($B$3+$B$4)/$B$4)*C263)</f>
        <v>-14.583850834271672</v>
      </c>
      <c r="E263" s="9">
        <f>($B$3+$B$4)*SIN(C263)-$B$4*SIN((($B$3+$B$4)/$B$4)*C263)</f>
        <v>-31.53123976439058</v>
      </c>
      <c r="F263" s="5"/>
      <c r="G263" s="5"/>
      <c r="H263" s="5"/>
    </row>
    <row r="264" spans="1:8" x14ac:dyDescent="0.3">
      <c r="A264" s="9">
        <f>ROW()-ROW($A$14)</f>
        <v>250</v>
      </c>
      <c r="B264" s="9">
        <f>IF(A264&lt;=$B$8,$B$6+(A264-1)*($B$7-$B$6)/MAX(1,$B$8-1),NA())</f>
        <v>249</v>
      </c>
      <c r="C264" s="9">
        <f>RADIANS(B264)</f>
        <v>4.3458698374658802</v>
      </c>
      <c r="D264" s="9">
        <f>($B$3+$B$4)*COS(C264)-$B$4*COS((($B$3+$B$4)/$B$4)*C264)</f>
        <v>-13.689964747821399</v>
      </c>
      <c r="E264" s="9">
        <f>($B$3+$B$4)*SIN(C264)-$B$4*SIN((($B$3+$B$4)/$B$4)*C264)</f>
        <v>-32.052497766790779</v>
      </c>
      <c r="F264" s="5"/>
      <c r="G264" s="5"/>
      <c r="H264" s="5"/>
    </row>
    <row r="265" spans="1:8" x14ac:dyDescent="0.3">
      <c r="A265" s="9">
        <f>ROW()-ROW($A$14)</f>
        <v>251</v>
      </c>
      <c r="B265" s="9">
        <f>IF(A265&lt;=$B$8,$B$6+(A265-1)*($B$7-$B$6)/MAX(1,$B$8-1),NA())</f>
        <v>250</v>
      </c>
      <c r="C265" s="9">
        <f>RADIANS(B265)</f>
        <v>4.3633231299858242</v>
      </c>
      <c r="D265" s="9">
        <f>($B$3+$B$4)*COS(C265)-$B$4*COS((($B$3+$B$4)/$B$4)*C265)</f>
        <v>-12.760604299770051</v>
      </c>
      <c r="E265" s="9">
        <f>($B$3+$B$4)*SIN(C265)-$B$4*SIN((($B$3+$B$4)/$B$4)*C265)</f>
        <v>-32.52090564249945</v>
      </c>
      <c r="F265" s="5"/>
      <c r="G265" s="5"/>
      <c r="H265" s="5"/>
    </row>
    <row r="266" spans="1:8" x14ac:dyDescent="0.3">
      <c r="A266" s="9">
        <f>ROW()-ROW($A$14)</f>
        <v>252</v>
      </c>
      <c r="B266" s="9">
        <f>IF(A266&lt;=$B$8,$B$6+(A266-1)*($B$7-$B$6)/MAX(1,$B$8-1),NA())</f>
        <v>251</v>
      </c>
      <c r="C266" s="9">
        <f>RADIANS(B266)</f>
        <v>4.3807764225057673</v>
      </c>
      <c r="D266" s="9">
        <f>($B$3+$B$4)*COS(C266)-$B$4*COS((($B$3+$B$4)/$B$4)*C266)</f>
        <v>-11.800727849093708</v>
      </c>
      <c r="E266" s="9">
        <f>($B$3+$B$4)*SIN(C266)-$B$4*SIN((($B$3+$B$4)/$B$4)*C266)</f>
        <v>-32.933284556192504</v>
      </c>
      <c r="F266" s="5"/>
      <c r="G266" s="5"/>
      <c r="H266" s="5"/>
    </row>
    <row r="267" spans="1:8" x14ac:dyDescent="0.3">
      <c r="A267" s="9">
        <f>ROW()-ROW($A$14)</f>
        <v>253</v>
      </c>
      <c r="B267" s="9">
        <f>IF(A267&lt;=$B$8,$B$6+(A267-1)*($B$7-$B$6)/MAX(1,$B$8-1),NA())</f>
        <v>252</v>
      </c>
      <c r="C267" s="9">
        <f>RADIANS(B267)</f>
        <v>4.3982297150257104</v>
      </c>
      <c r="D267" s="9">
        <f>($B$3+$B$4)*COS(C267)-$B$4*COS((($B$3+$B$4)/$B$4)*C267)</f>
        <v>-10.815594803123169</v>
      </c>
      <c r="E267" s="9">
        <f>($B$3+$B$4)*SIN(C267)-$B$4*SIN((($B$3+$B$4)/$B$4)*C267)</f>
        <v>-33.28697807033037</v>
      </c>
      <c r="F267" s="5"/>
      <c r="G267" s="5"/>
      <c r="H267" s="5"/>
    </row>
    <row r="268" spans="1:8" x14ac:dyDescent="0.3">
      <c r="A268" s="9">
        <f>ROW()-ROW($A$14)</f>
        <v>254</v>
      </c>
      <c r="B268" s="9">
        <f>IF(A268&lt;=$B$8,$B$6+(A268-1)*($B$7-$B$6)/MAX(1,$B$8-1),NA())</f>
        <v>253</v>
      </c>
      <c r="C268" s="9">
        <f>RADIANS(B268)</f>
        <v>4.4156830075456535</v>
      </c>
      <c r="D268" s="9">
        <f>($B$3+$B$4)*COS(C268)-$B$4*COS((($B$3+$B$4)/$B$4)*C268)</f>
        <v>-9.810709595770911</v>
      </c>
      <c r="E268" s="9">
        <f>($B$3+$B$4)*SIN(C268)-$B$4*SIN((($B$3+$B$4)/$B$4)*C268)</f>
        <v>-33.579880682560088</v>
      </c>
      <c r="F268" s="5"/>
      <c r="G268" s="5"/>
      <c r="H268" s="5"/>
    </row>
    <row r="269" spans="1:8" x14ac:dyDescent="0.3">
      <c r="A269" s="9">
        <f>ROW()-ROW($A$14)</f>
        <v>255</v>
      </c>
      <c r="B269" s="9">
        <f>IF(A269&lt;=$B$8,$B$6+(A269-1)*($B$7-$B$6)/MAX(1,$B$8-1),NA())</f>
        <v>254</v>
      </c>
      <c r="C269" s="9">
        <f>RADIANS(B269)</f>
        <v>4.4331363000655974</v>
      </c>
      <c r="D269" s="9">
        <f>($B$3+$B$4)*COS(C269)-$B$4*COS((($B$3+$B$4)/$B$4)*C269)</f>
        <v>-8.791762990848234</v>
      </c>
      <c r="E269" s="9">
        <f>($B$3+$B$4)*SIN(C269)-$B$4*SIN((($B$3+$B$4)/$B$4)*C269)</f>
        <v>-33.810460354990937</v>
      </c>
      <c r="F269" s="5"/>
      <c r="G269" s="5"/>
      <c r="H269" s="5"/>
    </row>
    <row r="270" spans="1:8" x14ac:dyDescent="0.3">
      <c r="A270" s="9">
        <f>ROW()-ROW($A$14)</f>
        <v>256</v>
      </c>
      <c r="B270" s="9">
        <f>IF(A270&lt;=$B$8,$B$6+(A270-1)*($B$7-$B$6)/MAX(1,$B$8-1),NA())</f>
        <v>255</v>
      </c>
      <c r="C270" s="9">
        <f>RADIANS(B270)</f>
        <v>4.4505895925855405</v>
      </c>
      <c r="D270" s="9">
        <f>($B$3+$B$4)*COS(C270)-$B$4*COS((($B$3+$B$4)/$B$4)*C270)</f>
        <v>-7.7645713530756151</v>
      </c>
      <c r="E270" s="9">
        <f>($B$3+$B$4)*SIN(C270)-$B$4*SIN((($B$3+$B$4)/$B$4)*C270)</f>
        <v>-33.97777478867205</v>
      </c>
      <c r="F270" s="5"/>
      <c r="G270" s="5"/>
      <c r="H270" s="5"/>
    </row>
    <row r="271" spans="1:8" x14ac:dyDescent="0.3">
      <c r="A271" s="9">
        <f>ROW()-ROW($A$14)</f>
        <v>257</v>
      </c>
      <c r="B271" s="9">
        <f>IF(A271&lt;=$B$8,$B$6+(A271-1)*($B$7-$B$6)/MAX(1,$B$8-1),NA())</f>
        <v>256</v>
      </c>
      <c r="C271" s="9">
        <f>RADIANS(B271)</f>
        <v>4.4680428851054836</v>
      </c>
      <c r="D271" s="9">
        <f>($B$3+$B$4)*COS(C271)-$B$4*COS((($B$3+$B$4)/$B$4)*C271)</f>
        <v>-6.7350145516517594</v>
      </c>
      <c r="E271" s="9">
        <f>($B$3+$B$4)*SIN(C271)-$B$4*SIN((($B$3+$B$4)/$B$4)*C271)</f>
        <v>-34.081481265121262</v>
      </c>
      <c r="F271" s="5"/>
      <c r="G271" s="5"/>
      <c r="H271" s="5"/>
    </row>
    <row r="272" spans="1:8" x14ac:dyDescent="0.3">
      <c r="A272" s="9">
        <f>ROW()-ROW($A$14)</f>
        <v>258</v>
      </c>
      <c r="B272" s="9">
        <f>IF(A272&lt;=$B$8,$B$6+(A272-1)*($B$7-$B$6)/MAX(1,$B$8-1),NA())</f>
        <v>257</v>
      </c>
      <c r="C272" s="9">
        <f>RADIANS(B272)</f>
        <v>4.4854961776254267</v>
      </c>
      <c r="D272" s="9">
        <f>($B$3+$B$4)*COS(C272)-$B$4*COS((($B$3+$B$4)/$B$4)*C272)</f>
        <v>-5.7089731762271683</v>
      </c>
      <c r="E272" s="9">
        <f>($B$3+$B$4)*SIN(C272)-$B$4*SIN((($B$3+$B$4)/$B$4)*C272)</f>
        <v>-34.121839947226086</v>
      </c>
      <c r="F272" s="5"/>
      <c r="G272" s="5"/>
      <c r="H272" s="5"/>
    </row>
    <row r="273" spans="1:8" x14ac:dyDescent="0.3">
      <c r="A273" s="9">
        <f>ROW()-ROW($A$14)</f>
        <v>259</v>
      </c>
      <c r="B273" s="9">
        <f>IF(A273&lt;=$B$8,$B$6+(A273-1)*($B$7-$B$6)/MAX(1,$B$8-1),NA())</f>
        <v>258</v>
      </c>
      <c r="C273" s="9">
        <f>RADIANS(B273)</f>
        <v>4.5029494701453698</v>
      </c>
      <c r="D273" s="9">
        <f>($B$3+$B$4)*COS(C273)-$B$4*COS((($B$3+$B$4)/$B$4)*C273)</f>
        <v>-4.6922657526580789</v>
      </c>
      <c r="E273" s="9">
        <f>($B$3+$B$4)*SIN(C273)-$B$4*SIN((($B$3+$B$4)/$B$4)*C273)</f>
        <v>-34.099710603489939</v>
      </c>
      <c r="F273" s="5"/>
      <c r="G273" s="5"/>
      <c r="H273" s="5"/>
    </row>
    <row r="274" spans="1:8" x14ac:dyDescent="0.3">
      <c r="A274" s="9">
        <f>ROW()-ROW($A$14)</f>
        <v>260</v>
      </c>
      <c r="B274" s="9">
        <f>IF(A274&lt;=$B$8,$B$6+(A274-1)*($B$7-$B$6)/MAX(1,$B$8-1),NA())</f>
        <v>259</v>
      </c>
      <c r="C274" s="9">
        <f>RADIANS(B274)</f>
        <v>4.5204027626653138</v>
      </c>
      <c r="D274" s="9">
        <f>($B$3+$B$4)*COS(C274)-$B$4*COS((($B$3+$B$4)/$B$4)*C274)</f>
        <v>-3.6905866459173238</v>
      </c>
      <c r="E274" s="9">
        <f>($B$3+$B$4)*SIN(C274)-$B$4*SIN((($B$3+$B$4)/$B$4)*C274)</f>
        <v>-34.016542791642919</v>
      </c>
      <c r="F274" s="5"/>
      <c r="G274" s="5"/>
      <c r="H274" s="5"/>
    </row>
    <row r="275" spans="1:8" x14ac:dyDescent="0.3">
      <c r="A275" s="9">
        <f>ROW()-ROW($A$14)</f>
        <v>261</v>
      </c>
      <c r="B275" s="9">
        <f>IF(A275&lt;=$B$8,$B$6+(A275-1)*($B$7-$B$6)/MAX(1,$B$8-1),NA())</f>
        <v>260</v>
      </c>
      <c r="C275" s="9">
        <f>RADIANS(B275)</f>
        <v>4.5378560551852569</v>
      </c>
      <c r="D275" s="9">
        <f>($B$3+$B$4)*COS(C275)-$B$4*COS((($B$3+$B$4)/$B$4)*C275)</f>
        <v>-2.7094453300079091</v>
      </c>
      <c r="E275" s="9">
        <f>($B$3+$B$4)*SIN(C275)-$B$4*SIN((($B$3+$B$4)/$B$4)*C275)</f>
        <v>-33.874359609288433</v>
      </c>
      <c r="F275" s="5"/>
      <c r="G275" s="5"/>
      <c r="H275" s="5"/>
    </row>
    <row r="276" spans="1:8" x14ac:dyDescent="0.3">
      <c r="A276" s="9">
        <f>ROW()-ROW($A$14)</f>
        <v>262</v>
      </c>
      <c r="B276" s="9">
        <f>IF(A276&lt;=$B$8,$B$6+(A276-1)*($B$7-$B$6)/MAX(1,$B$8-1),NA())</f>
        <v>261</v>
      </c>
      <c r="C276" s="9">
        <f>RADIANS(B276)</f>
        <v>4.5553093477052</v>
      </c>
      <c r="D276" s="9">
        <f>($B$3+$B$4)*COS(C276)-$B$4*COS((($B$3+$B$4)/$B$4)*C276)</f>
        <v>-1.7541076897445769</v>
      </c>
      <c r="E276" s="9">
        <f>($B$3+$B$4)*SIN(C276)-$B$4*SIN((($B$3+$B$4)/$B$4)*C276)</f>
        <v>-33.675735189728876</v>
      </c>
      <c r="F276" s="5"/>
      <c r="G276" s="5"/>
      <c r="H276" s="5"/>
    </row>
    <row r="277" spans="1:8" x14ac:dyDescent="0.3">
      <c r="A277" s="9">
        <f>ROW()-ROW($A$14)</f>
        <v>263</v>
      </c>
      <c r="B277" s="9">
        <f>IF(A277&lt;=$B$8,$B$6+(A277-1)*($B$7-$B$6)/MAX(1,$B$8-1),NA())</f>
        <v>262</v>
      </c>
      <c r="C277" s="9">
        <f>RADIANS(B277)</f>
        <v>4.5727626402251431</v>
      </c>
      <c r="D277" s="9">
        <f>($B$3+$B$4)*COS(C277)-$B$4*COS((($B$3+$B$4)/$B$4)*C277)</f>
        <v>-0.82953999700769243</v>
      </c>
      <c r="E277" s="9">
        <f>($B$3+$B$4)*SIN(C277)-$B$4*SIN((($B$3+$B$4)/$B$4)*C277)</f>
        <v>-33.423766189634087</v>
      </c>
      <c r="F277" s="5"/>
      <c r="G277" s="5"/>
      <c r="H277" s="5"/>
    </row>
    <row r="278" spans="1:8" x14ac:dyDescent="0.3">
      <c r="A278" s="9">
        <f>ROW()-ROW($A$14)</f>
        <v>264</v>
      </c>
      <c r="B278" s="9">
        <f>IF(A278&lt;=$B$8,$B$6+(A278-1)*($B$7-$B$6)/MAX(1,$B$8-1),NA())</f>
        <v>263</v>
      </c>
      <c r="C278" s="9">
        <f>RADIANS(B278)</f>
        <v>4.5902159327450871</v>
      </c>
      <c r="D278" s="9">
        <f>($B$3+$B$4)*COS(C278)-$B$4*COS((($B$3+$B$4)/$B$4)*C278)</f>
        <v>5.9643825232562175E-2</v>
      </c>
      <c r="E278" s="9">
        <f>($B$3+$B$4)*SIN(C278)-$B$4*SIN((($B$3+$B$4)/$B$4)*C278)</f>
        <v>-33.122037581033943</v>
      </c>
      <c r="F278" s="5"/>
      <c r="G278" s="5"/>
      <c r="H278" s="5"/>
    </row>
    <row r="279" spans="1:8" x14ac:dyDescent="0.3">
      <c r="A279" s="9">
        <f>ROW()-ROW($A$14)</f>
        <v>265</v>
      </c>
      <c r="B279" s="9">
        <f>IF(A279&lt;=$B$8,$B$6+(A279-1)*($B$7-$B$6)/MAX(1,$B$8-1),NA())</f>
        <v>264</v>
      </c>
      <c r="C279" s="9">
        <f>RADIANS(B279)</f>
        <v>4.6076692252650302</v>
      </c>
      <c r="D279" s="9">
        <f>($B$3+$B$4)*COS(C279)-$B$4*COS((($B$3+$B$4)/$B$4)*C279)</f>
        <v>0.9092310738451328</v>
      </c>
      <c r="E279" s="9">
        <f>($B$3+$B$4)*SIN(C279)-$B$4*SIN((($B$3+$B$4)/$B$4)*C279)</f>
        <v>-32.774583122510577</v>
      </c>
      <c r="F279" s="5"/>
      <c r="G279" s="5"/>
      <c r="H279" s="5"/>
    </row>
    <row r="280" spans="1:8" x14ac:dyDescent="0.3">
      <c r="A280" s="9">
        <f>ROW()-ROW($A$14)</f>
        <v>266</v>
      </c>
      <c r="B280" s="9">
        <f>IF(A280&lt;=$B$8,$B$6+(A280-1)*($B$7-$B$6)/MAX(1,$B$8-1),NA())</f>
        <v>265</v>
      </c>
      <c r="C280" s="9">
        <f>RADIANS(B280)</f>
        <v>4.6251225177849733</v>
      </c>
      <c r="D280" s="9">
        <f>($B$3+$B$4)*COS(C280)-$B$4*COS((($B$3+$B$4)/$B$4)*C280)</f>
        <v>1.7154547364924442</v>
      </c>
      <c r="E280" s="9">
        <f>($B$3+$B$4)*SIN(C280)-$B$4*SIN((($B$3+$B$4)/$B$4)*C280)</f>
        <v>-32.385840942752367</v>
      </c>
      <c r="F280" s="5"/>
      <c r="G280" s="5"/>
      <c r="H280" s="5"/>
    </row>
    <row r="281" spans="1:8" x14ac:dyDescent="0.3">
      <c r="A281" s="9">
        <f>ROW()-ROW($A$14)</f>
        <v>267</v>
      </c>
      <c r="B281" s="9">
        <f>IF(A281&lt;=$B$8,$B$6+(A281-1)*($B$7-$B$6)/MAX(1,$B$8-1),NA())</f>
        <v>266</v>
      </c>
      <c r="C281" s="9">
        <f>RADIANS(B281)</f>
        <v>4.6425758103049164</v>
      </c>
      <c r="D281" s="9">
        <f>($B$3+$B$4)*COS(C281)-$B$4*COS((($B$3+$B$4)/$B$4)*C281)</f>
        <v>2.4750330758892378</v>
      </c>
      <c r="E281" s="9">
        <f>($B$3+$B$4)*SIN(C281)-$B$4*SIN((($B$3+$B$4)/$B$4)*C281)</f>
        <v>-31.960604723173727</v>
      </c>
      <c r="F281" s="5"/>
      <c r="G281" s="5"/>
      <c r="H281" s="5"/>
    </row>
    <row r="282" spans="1:8" x14ac:dyDescent="0.3">
      <c r="A282" s="9">
        <f>ROW()-ROW($A$14)</f>
        <v>268</v>
      </c>
      <c r="B282" s="9">
        <f>IF(A282&lt;=$B$8,$B$6+(A282-1)*($B$7-$B$6)/MAX(1,$B$8-1),NA())</f>
        <v>267</v>
      </c>
      <c r="C282" s="9">
        <f>RADIANS(B282)</f>
        <v>4.6600291028248595</v>
      </c>
      <c r="D282" s="9">
        <f>($B$3+$B$4)*COS(C282)-$B$4*COS((($B$3+$B$4)/$B$4)*C282)</f>
        <v>3.1852038941874339</v>
      </c>
      <c r="E282" s="9">
        <f>($B$3+$B$4)*SIN(C282)-$B$4*SIN((($B$3+$B$4)/$B$4)*C282)</f>
        <v>-31.503971014511965</v>
      </c>
      <c r="F282" s="5"/>
      <c r="G282" s="5"/>
      <c r="H282" s="5"/>
    </row>
    <row r="283" spans="1:8" x14ac:dyDescent="0.3">
      <c r="A283" s="9">
        <f>ROW()-ROW($A$14)</f>
        <v>269</v>
      </c>
      <c r="B283" s="9">
        <f>IF(A283&lt;=$B$8,$B$6+(A283-1)*($B$7-$B$6)/MAX(1,$B$8-1),NA())</f>
        <v>268</v>
      </c>
      <c r="C283" s="9">
        <f>RADIANS(B283)</f>
        <v>4.6774823953448035</v>
      </c>
      <c r="D283" s="9">
        <f>($B$3+$B$4)*COS(C283)-$B$4*COS((($B$3+$B$4)/$B$4)*C283)</f>
        <v>3.8437531025940066</v>
      </c>
      <c r="E283" s="9">
        <f>($B$3+$B$4)*SIN(C283)-$B$4*SIN((($B$3+$B$4)/$B$4)*C283)</f>
        <v>-31.021283264661665</v>
      </c>
      <c r="F283" s="5"/>
      <c r="G283" s="5"/>
      <c r="H283" s="5"/>
    </row>
    <row r="284" spans="1:8" x14ac:dyDescent="0.3">
      <c r="A284" s="9">
        <f>ROW()-ROW($A$14)</f>
        <v>270</v>
      </c>
      <c r="B284" s="9">
        <f>IF(A284&lt;=$B$8,$B$6+(A284-1)*($B$7-$B$6)/MAX(1,$B$8-1),NA())</f>
        <v>269</v>
      </c>
      <c r="C284" s="9">
        <f>RADIANS(B284)</f>
        <v>4.6949356878647466</v>
      </c>
      <c r="D284" s="9">
        <f>($B$3+$B$4)*COS(C284)-$B$4*COS((($B$3+$B$4)/$B$4)*C284)</f>
        <v>4.4490372837228627</v>
      </c>
      <c r="E284" s="9">
        <f>($B$3+$B$4)*SIN(C284)-$B$4*SIN((($B$3+$B$4)/$B$4)*C284)</f>
        <v>-30.518073171029997</v>
      </c>
      <c r="F284" s="5"/>
      <c r="G284" s="5"/>
      <c r="H284" s="5"/>
    </row>
    <row r="285" spans="1:8" x14ac:dyDescent="0.3">
      <c r="A285" s="9">
        <f>ROW()-ROW($A$14)</f>
        <v>271</v>
      </c>
      <c r="B285" s="9">
        <f>IF(A285&lt;=$B$8,$B$6+(A285-1)*($B$7-$B$6)/MAX(1,$B$8-1),NA())</f>
        <v>270</v>
      </c>
      <c r="C285" s="9">
        <f>RADIANS(B285)</f>
        <v>4.7123889803846897</v>
      </c>
      <c r="D285" s="9">
        <f>($B$3+$B$4)*COS(C285)-$B$4*COS((($B$3+$B$4)/$B$4)*C285)</f>
        <v>4.9999999999999947</v>
      </c>
      <c r="E285" s="9">
        <f>($B$3+$B$4)*SIN(C285)-$B$4*SIN((($B$3+$B$4)/$B$4)*C285)</f>
        <v>-30.000000000000007</v>
      </c>
      <c r="F285" s="5"/>
      <c r="G285" s="5"/>
      <c r="H285" s="5"/>
    </row>
    <row r="286" spans="1:8" x14ac:dyDescent="0.3">
      <c r="A286" s="9">
        <f>ROW()-ROW($A$14)</f>
        <v>272</v>
      </c>
      <c r="B286" s="9">
        <f>IF(A286&lt;=$B$8,$B$6+(A286-1)*($B$7-$B$6)/MAX(1,$B$8-1),NA())</f>
        <v>271</v>
      </c>
      <c r="C286" s="9">
        <f>RADIANS(B286)</f>
        <v>4.7298422729046328</v>
      </c>
      <c r="D286" s="9">
        <f>($B$3+$B$4)*COS(C286)-$B$4*COS((($B$3+$B$4)/$B$4)*C286)</f>
        <v>5.4961816699598627</v>
      </c>
      <c r="E286" s="9">
        <f>($B$3+$B$4)*SIN(C286)-$B$4*SIN((($B$3+$B$4)/$B$4)*C286)</f>
        <v>-29.472788538353491</v>
      </c>
      <c r="F286" s="5"/>
      <c r="G286" s="5"/>
      <c r="H286" s="5"/>
    </row>
    <row r="287" spans="1:8" x14ac:dyDescent="0.3">
      <c r="A287" s="9">
        <f>ROW()-ROW($A$14)</f>
        <v>273</v>
      </c>
      <c r="B287" s="9">
        <f>IF(A287&lt;=$B$8,$B$6+(A287-1)*($B$7-$B$6)/MAX(1,$B$8-1),NA())</f>
        <v>272</v>
      </c>
      <c r="C287" s="9">
        <f>RADIANS(B287)</f>
        <v>4.7472955654245768</v>
      </c>
      <c r="D287" s="9">
        <f>($B$3+$B$4)*COS(C287)-$B$4*COS((($B$3+$B$4)/$B$4)*C287)</f>
        <v>5.9377229047440636</v>
      </c>
      <c r="E287" s="9">
        <f>($B$3+$B$4)*SIN(C287)-$B$4*SIN((($B$3+$B$4)/$B$4)*C287)</f>
        <v>-28.942166356484059</v>
      </c>
      <c r="F287" s="5"/>
      <c r="G287" s="5"/>
      <c r="H287" s="5"/>
    </row>
    <row r="288" spans="1:8" x14ac:dyDescent="0.3">
      <c r="A288" s="9">
        <f>ROW()-ROW($A$14)</f>
        <v>274</v>
      </c>
      <c r="B288" s="9">
        <f>IF(A288&lt;=$B$8,$B$6+(A288-1)*($B$7-$B$6)/MAX(1,$B$8-1),NA())</f>
        <v>273</v>
      </c>
      <c r="C288" s="9">
        <f>RADIANS(B288)</f>
        <v>4.7647488579445199</v>
      </c>
      <c r="D288" s="9">
        <f>($B$3+$B$4)*COS(C288)-$B$4*COS((($B$3+$B$4)/$B$4)*C288)</f>
        <v>6.3253612687640857</v>
      </c>
      <c r="E288" s="9">
        <f>($B$3+$B$4)*SIN(C288)-$B$4*SIN((($B$3+$B$4)/$B$4)*C288)</f>
        <v>-28.413801070762474</v>
      </c>
      <c r="F288" s="5"/>
      <c r="G288" s="5"/>
      <c r="H288" s="5"/>
    </row>
    <row r="289" spans="1:8" x14ac:dyDescent="0.3">
      <c r="A289" s="9">
        <f>ROW()-ROW($A$14)</f>
        <v>275</v>
      </c>
      <c r="B289" s="9">
        <f>IF(A289&lt;=$B$8,$B$6+(A289-1)*($B$7-$B$6)/MAX(1,$B$8-1),NA())</f>
        <v>274</v>
      </c>
      <c r="C289" s="9">
        <f>RADIANS(B289)</f>
        <v>4.782202150464463</v>
      </c>
      <c r="D289" s="9">
        <f>($B$3+$B$4)*COS(C289)-$B$4*COS((($B$3+$B$4)/$B$4)*C289)</f>
        <v>6.6604215005367662</v>
      </c>
      <c r="E289" s="9">
        <f>($B$3+$B$4)*SIN(C289)-$B$4*SIN((($B$3+$B$4)/$B$4)*C289)</f>
        <v>-27.893238292415742</v>
      </c>
      <c r="F289" s="5"/>
      <c r="G289" s="5"/>
      <c r="H289" s="5"/>
    </row>
    <row r="290" spans="1:8" x14ac:dyDescent="0.3">
      <c r="A290" s="9">
        <f>ROW()-ROW($A$14)</f>
        <v>276</v>
      </c>
      <c r="B290" s="9">
        <f>IF(A290&lt;=$B$8,$B$6+(A290-1)*($B$7-$B$6)/MAX(1,$B$8-1),NA())</f>
        <v>275</v>
      </c>
      <c r="C290" s="9">
        <f>RADIANS(B290)</f>
        <v>4.7996554429844061</v>
      </c>
      <c r="D290" s="9">
        <f>($B$3+$B$4)*COS(C290)-$B$4*COS((($B$3+$B$4)/$B$4)*C290)</f>
        <v>6.9447993013519334</v>
      </c>
      <c r="E290" s="9">
        <f>($B$3+$B$4)*SIN(C290)-$B$4*SIN((($B$3+$B$4)/$B$4)*C290)</f>
        <v>-27.385840942752374</v>
      </c>
      <c r="F290" s="5"/>
      <c r="G290" s="5"/>
      <c r="H290" s="5"/>
    </row>
    <row r="291" spans="1:8" x14ac:dyDescent="0.3">
      <c r="A291" s="9">
        <f>ROW()-ROW($A$14)</f>
        <v>277</v>
      </c>
      <c r="B291" s="9">
        <f>IF(A291&lt;=$B$8,$B$6+(A291-1)*($B$7-$B$6)/MAX(1,$B$8-1),NA())</f>
        <v>276</v>
      </c>
      <c r="C291" s="9">
        <f>RADIANS(B291)</f>
        <v>4.8171087355043491</v>
      </c>
      <c r="D291" s="9">
        <f>($B$3+$B$4)*COS(C291)-$B$4*COS((($B$3+$B$4)/$B$4)*C291)</f>
        <v>7.1809388699043302</v>
      </c>
      <c r="E291" s="9">
        <f>($B$3+$B$4)*SIN(C291)-$B$4*SIN((($B$3+$B$4)/$B$4)*C291)</f>
        <v>-26.896730599585844</v>
      </c>
      <c r="F291" s="5"/>
      <c r="G291" s="5"/>
      <c r="H291" s="5"/>
    </row>
    <row r="292" spans="1:8" x14ac:dyDescent="0.3">
      <c r="A292" s="9">
        <f>ROW()-ROW($A$14)</f>
        <v>278</v>
      </c>
      <c r="B292" s="9">
        <f>IF(A292&lt;=$B$8,$B$6+(A292-1)*($B$7-$B$6)/MAX(1,$B$8-1),NA())</f>
        <v>277</v>
      </c>
      <c r="C292" s="9">
        <f>RADIANS(B292)</f>
        <v>4.8345620280242931</v>
      </c>
      <c r="D292" s="9">
        <f>($B$3+$B$4)*COS(C292)-$B$4*COS((($B$3+$B$4)/$B$4)*C292)</f>
        <v>7.3718044295414034</v>
      </c>
      <c r="E292" s="9">
        <f>($B$3+$B$4)*SIN(C292)-$B$4*SIN((($B$3+$B$4)/$B$4)*C292)</f>
        <v>-26.43073151744537</v>
      </c>
      <c r="F292" s="5"/>
      <c r="G292" s="5"/>
      <c r="H292" s="5"/>
    </row>
    <row r="293" spans="1:8" x14ac:dyDescent="0.3">
      <c r="A293" s="9">
        <f>ROW()-ROW($A$14)</f>
        <v>279</v>
      </c>
      <c r="B293" s="9">
        <f>IF(A293&lt;=$B$8,$B$6+(A293-1)*($B$7-$B$6)/MAX(1,$B$8-1),NA())</f>
        <v>278</v>
      </c>
      <c r="C293" s="9">
        <f>RADIANS(B293)</f>
        <v>4.8520153205442362</v>
      </c>
      <c r="D293" s="9">
        <f>($B$3+$B$4)*COS(C293)-$B$4*COS((($B$3+$B$4)/$B$4)*C293)</f>
        <v>7.5208460605962539</v>
      </c>
      <c r="E293" s="9">
        <f>($B$3+$B$4)*SIN(C293)-$B$4*SIN((($B$3+$B$4)/$B$4)*C293)</f>
        <v>-25.992317934860139</v>
      </c>
      <c r="F293" s="5"/>
      <c r="G293" s="5"/>
      <c r="H293" s="5"/>
    </row>
    <row r="294" spans="1:8" x14ac:dyDescent="0.3">
      <c r="A294" s="9">
        <f>ROW()-ROW($A$14)</f>
        <v>280</v>
      </c>
      <c r="B294" s="9">
        <f>IF(A294&lt;=$B$8,$B$6+(A294-1)*($B$7-$B$6)/MAX(1,$B$8-1),NA())</f>
        <v>279</v>
      </c>
      <c r="C294" s="9">
        <f>RADIANS(B294)</f>
        <v>4.8694686130641793</v>
      </c>
      <c r="D294" s="9">
        <f>($B$3+$B$4)*COS(C294)-$B$4*COS((($B$3+$B$4)/$B$4)*C294)</f>
        <v>7.6319602126692825</v>
      </c>
      <c r="E294" s="9">
        <f>($B$3+$B$4)*SIN(C294)-$B$4*SIN((($B$3+$B$4)/$B$4)*C294)</f>
        <v>-25.585565245979392</v>
      </c>
      <c r="F294" s="5"/>
      <c r="G294" s="5"/>
      <c r="H294" s="5"/>
    </row>
    <row r="295" spans="1:8" x14ac:dyDescent="0.3">
      <c r="A295" s="9">
        <f>ROW()-ROW($A$14)</f>
        <v>281</v>
      </c>
      <c r="B295" s="9">
        <f>IF(A295&lt;=$B$8,$B$6+(A295-1)*($B$7-$B$6)/MAX(1,$B$8-1),NA())</f>
        <v>280</v>
      </c>
      <c r="C295" s="9">
        <f>RADIANS(B295)</f>
        <v>4.8869219055841224</v>
      </c>
      <c r="D295" s="9">
        <f>($B$3+$B$4)*COS(C295)-$B$4*COS((($B$3+$B$4)/$B$4)*C295)</f>
        <v>7.7094453300079087</v>
      </c>
      <c r="E295" s="9">
        <f>($B$3+$B$4)*SIN(C295)-$B$4*SIN((($B$3+$B$4)/$B$4)*C295)</f>
        <v>-25.214105571444055</v>
      </c>
      <c r="F295" s="5"/>
      <c r="G295" s="5"/>
      <c r="H295" s="5"/>
    </row>
    <row r="296" spans="1:8" x14ac:dyDescent="0.3">
      <c r="A296" s="9">
        <f>ROW()-ROW($A$14)</f>
        <v>282</v>
      </c>
      <c r="B296" s="9">
        <f>IF(A296&lt;=$B$8,$B$6+(A296-1)*($B$7-$B$6)/MAX(1,$B$8-1),NA())</f>
        <v>281</v>
      </c>
      <c r="C296" s="9">
        <f>RADIANS(B296)</f>
        <v>4.9043751981040664</v>
      </c>
      <c r="D296" s="9">
        <f>($B$3+$B$4)*COS(C296)-$B$4*COS((($B$3+$B$4)/$B$4)*C296)</f>
        <v>7.7579530766753457</v>
      </c>
      <c r="E296" s="9">
        <f>($B$3+$B$4)*SIN(C296)-$B$4*SIN((($B$3+$B$4)/$B$4)*C296)</f>
        <v>-24.881088215216906</v>
      </c>
      <c r="F296" s="5"/>
      <c r="G296" s="5"/>
      <c r="H296" s="5"/>
    </row>
    <row r="297" spans="1:8" x14ac:dyDescent="0.3">
      <c r="A297" s="9">
        <f>ROW()-ROW($A$14)</f>
        <v>283</v>
      </c>
      <c r="B297" s="9">
        <f>IF(A297&lt;=$B$8,$B$6+(A297-1)*($B$7-$B$6)/MAX(1,$B$8-1),NA())</f>
        <v>282</v>
      </c>
      <c r="C297" s="9">
        <f>RADIANS(B297)</f>
        <v>4.9218284906240095</v>
      </c>
      <c r="D297" s="9">
        <f>($B$3+$B$4)*COS(C297)-$B$4*COS((($B$3+$B$4)/$B$4)*C297)</f>
        <v>7.7824356964075081</v>
      </c>
      <c r="E297" s="9">
        <f>($B$3+$B$4)*SIN(C297)-$B$4*SIN((($B$3+$B$4)/$B$4)*C297)</f>
        <v>-24.589145440538395</v>
      </c>
      <c r="F297" s="5"/>
      <c r="G297" s="5"/>
      <c r="H297" s="5"/>
    </row>
    <row r="298" spans="1:8" x14ac:dyDescent="0.3">
      <c r="A298" s="9">
        <f>ROW()-ROW($A$14)</f>
        <v>284</v>
      </c>
      <c r="B298" s="9">
        <f>IF(A298&lt;=$B$8,$B$6+(A298-1)*($B$7-$B$6)/MAX(1,$B$8-1),NA())</f>
        <v>283</v>
      </c>
      <c r="C298" s="9">
        <f>RADIANS(B298)</f>
        <v>4.9392817831439526</v>
      </c>
      <c r="D298" s="9">
        <f>($B$3+$B$4)*COS(C298)-$B$4*COS((($B$3+$B$4)/$B$4)*C298)</f>
        <v>7.7880900844047467</v>
      </c>
      <c r="E298" s="9">
        <f>($B$3+$B$4)*SIN(C298)-$B$4*SIN((($B$3+$B$4)/$B$4)*C298)</f>
        <v>-24.340363939888029</v>
      </c>
      <c r="F298" s="5"/>
      <c r="G298" s="5"/>
      <c r="H298" s="5"/>
    </row>
    <row r="299" spans="1:8" x14ac:dyDescent="0.3">
      <c r="A299" s="9">
        <f>ROW()-ROW($A$14)</f>
        <v>285</v>
      </c>
      <c r="B299" s="9">
        <f>IF(A299&lt;=$B$8,$B$6+(A299-1)*($B$7-$B$6)/MAX(1,$B$8-1),NA())</f>
        <v>284</v>
      </c>
      <c r="C299" s="9">
        <f>RADIANS(B299)</f>
        <v>4.9567350756638957</v>
      </c>
      <c r="D299" s="9">
        <f>($B$3+$B$4)*COS(C299)-$B$4*COS((($B$3+$B$4)/$B$4)*C299)</f>
        <v>7.7802991843283085</v>
      </c>
      <c r="E299" s="9">
        <f>($B$3+$B$4)*SIN(C299)-$B$4*SIN((($B$3+$B$4)/$B$4)*C299)</f>
        <v>-24.136262311438536</v>
      </c>
      <c r="F299" s="5"/>
      <c r="G299" s="5"/>
      <c r="H299" s="5"/>
    </row>
    <row r="300" spans="1:8" x14ac:dyDescent="0.3">
      <c r="A300" s="9">
        <f>ROW()-ROW($A$14)</f>
        <v>286</v>
      </c>
      <c r="B300" s="9">
        <f>IF(A300&lt;=$B$8,$B$6+(A300-1)*($B$7-$B$6)/MAX(1,$B$8-1),NA())</f>
        <v>285</v>
      </c>
      <c r="C300" s="9">
        <f>RADIANS(B300)</f>
        <v>4.9741883681838388</v>
      </c>
      <c r="D300" s="9">
        <f>($B$3+$B$4)*COS(C300)-$B$4*COS((($B$3+$B$4)/$B$4)*C300)</f>
        <v>7.764571353075624</v>
      </c>
      <c r="E300" s="9">
        <f>($B$3+$B$4)*SIN(C300)-$B$4*SIN((($B$3+$B$4)/$B$4)*C300)</f>
        <v>-23.977774788672054</v>
      </c>
      <c r="F300" s="5"/>
      <c r="G300" s="5"/>
      <c r="H300" s="5"/>
    </row>
    <row r="301" spans="1:8" x14ac:dyDescent="0.3">
      <c r="A301" s="9">
        <f>ROW()-ROW($A$14)</f>
        <v>287</v>
      </c>
      <c r="B301" s="9">
        <f>IF(A301&lt;=$B$8,$B$6+(A301-1)*($B$7-$B$6)/MAX(1,$B$8-1),NA())</f>
        <v>286</v>
      </c>
      <c r="C301" s="9">
        <f>RADIANS(B301)</f>
        <v>4.9916416607037828</v>
      </c>
      <c r="D301" s="9">
        <f>($B$3+$B$4)*COS(C301)-$B$4*COS((($B$3+$B$4)/$B$4)*C301)</f>
        <v>7.746478358171708</v>
      </c>
      <c r="E301" s="9">
        <f>($B$3+$B$4)*SIN(C301)-$B$4*SIN((($B$3+$B$4)/$B$4)*C301)</f>
        <v>-23.865241401308197</v>
      </c>
      <c r="F301" s="5"/>
      <c r="G301" s="5"/>
      <c r="H301" s="5"/>
    </row>
    <row r="302" spans="1:8" x14ac:dyDescent="0.3">
      <c r="A302" s="9">
        <f>ROW()-ROW($A$14)</f>
        <v>288</v>
      </c>
      <c r="B302" s="9">
        <f>IF(A302&lt;=$B$8,$B$6+(A302-1)*($B$7-$B$6)/MAX(1,$B$8-1),NA())</f>
        <v>287</v>
      </c>
      <c r="C302" s="9">
        <f>RADIANS(B302)</f>
        <v>5.0090949532237259</v>
      </c>
      <c r="D302" s="9">
        <f>($B$3+$B$4)*COS(C302)-$B$4*COS((($B$3+$B$4)/$B$4)*C302)</f>
        <v>7.7315926875933139</v>
      </c>
      <c r="E302" s="9">
        <f>($B$3+$B$4)*SIN(C302)-$B$4*SIN((($B$3+$B$4)/$B$4)*C302)</f>
        <v>-23.798404675222031</v>
      </c>
      <c r="F302" s="5"/>
      <c r="G302" s="5"/>
      <c r="H302" s="5"/>
    </row>
    <row r="303" spans="1:8" x14ac:dyDescent="0.3">
      <c r="A303" s="9">
        <f>ROW()-ROW($A$14)</f>
        <v>289</v>
      </c>
      <c r="B303" s="9">
        <f>IF(A303&lt;=$B$8,$B$6+(A303-1)*($B$7-$B$6)/MAX(1,$B$8-1),NA())</f>
        <v>288</v>
      </c>
      <c r="C303" s="9">
        <f>RADIANS(B303)</f>
        <v>5.026548245743669</v>
      </c>
      <c r="D303" s="9">
        <f>($B$3+$B$4)*COS(C303)-$B$4*COS((($B$3+$B$4)/$B$4)*C303)</f>
        <v>7.7254248593736854</v>
      </c>
      <c r="E303" s="9">
        <f>($B$3+$B$4)*SIN(C303)-$B$4*SIN((($B$3+$B$4)/$B$4)*C303)</f>
        <v>-23.776412907378841</v>
      </c>
      <c r="F303" s="5"/>
      <c r="G303" s="5"/>
      <c r="H303" s="5"/>
    </row>
    <row r="304" spans="1:8" x14ac:dyDescent="0.3">
      <c r="A304" s="9">
        <f>ROW()-ROW($A$14)</f>
        <v>290</v>
      </c>
      <c r="B304" s="9">
        <f>IF(A304&lt;=$B$8,$B$6+(A304-1)*($B$7-$B$6)/MAX(1,$B$8-1),NA())</f>
        <v>289</v>
      </c>
      <c r="C304" s="9">
        <f>RADIANS(B304)</f>
        <v>5.0440015382636121</v>
      </c>
      <c r="D304" s="9">
        <f>($B$3+$B$4)*COS(C304)-$B$4*COS((($B$3+$B$4)/$B$4)*C304)</f>
        <v>7.7333614183356918</v>
      </c>
      <c r="E304" s="9">
        <f>($B$3+$B$4)*SIN(C304)-$B$4*SIN((($B$3+$B$4)/$B$4)*C304)</f>
        <v>-23.797829979766504</v>
      </c>
      <c r="F304" s="5"/>
      <c r="G304" s="5"/>
      <c r="H304" s="5"/>
    </row>
    <row r="305" spans="1:8" x14ac:dyDescent="0.3">
      <c r="A305" s="9">
        <f>ROW()-ROW($A$14)</f>
        <v>291</v>
      </c>
      <c r="B305" s="9">
        <f>IF(A305&lt;=$B$8,$B$6+(A305-1)*($B$7-$B$6)/MAX(1,$B$8-1),NA())</f>
        <v>290</v>
      </c>
      <c r="C305" s="9">
        <f>RADIANS(B305)</f>
        <v>5.0614548307835561</v>
      </c>
      <c r="D305" s="9">
        <f>($B$3+$B$4)*COS(C305)-$B$4*COS((($B$3+$B$4)/$B$4)*C305)</f>
        <v>7.760604299770069</v>
      </c>
      <c r="E305" s="9">
        <f>($B$3+$B$4)*SIN(C305)-$B$4*SIN((($B$3+$B$4)/$B$4)*C305)</f>
        <v>-23.860651604655054</v>
      </c>
      <c r="F305" s="5"/>
      <c r="G305" s="5"/>
      <c r="H305" s="5"/>
    </row>
    <row r="306" spans="1:8" x14ac:dyDescent="0.3">
      <c r="A306" s="9">
        <f>ROW()-ROW($A$14)</f>
        <v>292</v>
      </c>
      <c r="B306" s="9">
        <f>IF(A306&lt;=$B$8,$B$6+(A306-1)*($B$7-$B$6)/MAX(1,$B$8-1),NA())</f>
        <v>291</v>
      </c>
      <c r="C306" s="9">
        <f>RADIANS(B306)</f>
        <v>5.0789081233034992</v>
      </c>
      <c r="D306" s="9">
        <f>($B$3+$B$4)*COS(C306)-$B$4*COS((($B$3+$B$4)/$B$4)*C306)</f>
        <v>7.8121122248966435</v>
      </c>
      <c r="E306" s="9">
        <f>($B$3+$B$4)*SIN(C306)-$B$4*SIN((($B$3+$B$4)/$B$4)*C306)</f>
        <v>-23.962327823041317</v>
      </c>
      <c r="F306" s="5"/>
      <c r="G306" s="5"/>
      <c r="H306" s="5"/>
    </row>
    <row r="307" spans="1:8" x14ac:dyDescent="0.3">
      <c r="A307" s="9">
        <f>ROW()-ROW($A$14)</f>
        <v>293</v>
      </c>
      <c r="B307" s="9">
        <f>IF(A307&lt;=$B$8,$B$6+(A307-1)*($B$7-$B$6)/MAX(1,$B$8-1),NA())</f>
        <v>292</v>
      </c>
      <c r="C307" s="9">
        <f>RADIANS(B307)</f>
        <v>5.0963614158234423</v>
      </c>
      <c r="D307" s="9">
        <f>($B$3+$B$4)*COS(C307)-$B$4*COS((($B$3+$B$4)/$B$4)*C307)</f>
        <v>7.8925447706830631</v>
      </c>
      <c r="E307" s="9">
        <f>($B$3+$B$4)*SIN(C307)-$B$4*SIN((($B$3+$B$4)/$B$4)*C307)</f>
        <v>-24.099791509616654</v>
      </c>
      <c r="F307" s="5"/>
      <c r="G307" s="5"/>
      <c r="H307" s="5"/>
    </row>
    <row r="308" spans="1:8" x14ac:dyDescent="0.3">
      <c r="A308" s="9">
        <f>ROW()-ROW($A$14)</f>
        <v>294</v>
      </c>
      <c r="B308" s="9">
        <f>IF(A308&lt;=$B$8,$B$6+(A308-1)*($B$7-$B$6)/MAX(1,$B$8-1),NA())</f>
        <v>293</v>
      </c>
      <c r="C308" s="9">
        <f>RADIANS(B308)</f>
        <v>5.1138147083433854</v>
      </c>
      <c r="D308" s="9">
        <f>($B$3+$B$4)*COS(C308)-$B$4*COS((($B$3+$B$4)/$B$4)*C308)</f>
        <v>8.0062097272912407</v>
      </c>
      <c r="E308" s="9">
        <f>($B$3+$B$4)*SIN(C308)-$B$4*SIN((($B$3+$B$4)/$B$4)*C308)</f>
        <v>-24.269492571778915</v>
      </c>
      <c r="F308" s="5"/>
      <c r="G308" s="5"/>
      <c r="H308" s="5"/>
    </row>
    <row r="309" spans="1:8" x14ac:dyDescent="0.3">
      <c r="A309" s="9">
        <f>ROW()-ROW($A$14)</f>
        <v>295</v>
      </c>
      <c r="B309" s="9">
        <f>IF(A309&lt;=$B$8,$B$6+(A309-1)*($B$7-$B$6)/MAX(1,$B$8-1),NA())</f>
        <v>294</v>
      </c>
      <c r="C309" s="9">
        <f>RADIANS(B309)</f>
        <v>5.1312680008633285</v>
      </c>
      <c r="D309" s="9">
        <f>($B$3+$B$4)*COS(C309)-$B$4*COS((($B$3+$B$4)/$B$4)*C309)</f>
        <v>8.15701432039927</v>
      </c>
      <c r="E309" s="9">
        <f>($B$3+$B$4)*SIN(C309)-$B$4*SIN((($B$3+$B$4)/$B$4)*C309)</f>
        <v>-24.46743746781565</v>
      </c>
      <c r="F309" s="5"/>
      <c r="G309" s="5"/>
      <c r="H309" s="5"/>
    </row>
    <row r="310" spans="1:8" x14ac:dyDescent="0.3">
      <c r="A310" s="9">
        <f>ROW()-ROW($A$14)</f>
        <v>296</v>
      </c>
      <c r="B310" s="9">
        <f>IF(A310&lt;=$B$8,$B$6+(A310-1)*($B$7-$B$6)/MAX(1,$B$8-1),NA())</f>
        <v>295</v>
      </c>
      <c r="C310" s="9">
        <f>RADIANS(B310)</f>
        <v>5.1487212933832724</v>
      </c>
      <c r="D310" s="9">
        <f>($B$3+$B$4)*COS(C310)-$B$4*COS((($B$3+$B$4)/$B$4)*C310)</f>
        <v>8.348420833298789</v>
      </c>
      <c r="E310" s="9">
        <f>($B$3+$B$4)*SIN(C310)-$B$4*SIN((($B$3+$B$4)/$B$4)*C310)</f>
        <v>-24.689233611099514</v>
      </c>
      <c r="F310" s="5"/>
      <c r="G310" s="5"/>
      <c r="H310" s="5"/>
    </row>
    <row r="311" spans="1:8" x14ac:dyDescent="0.3">
      <c r="A311" s="9">
        <f>ROW()-ROW($A$14)</f>
        <v>297</v>
      </c>
      <c r="B311" s="9">
        <f>IF(A311&lt;=$B$8,$B$6+(A311-1)*($B$7-$B$6)/MAX(1,$B$8-1),NA())</f>
        <v>296</v>
      </c>
      <c r="C311" s="9">
        <f>RADIANS(B311)</f>
        <v>5.1661745859032155</v>
      </c>
      <c r="D311" s="9">
        <f>($B$3+$B$4)*COS(C311)-$B$4*COS((($B$3+$B$4)/$B$4)*C311)</f>
        <v>8.5834071154593197</v>
      </c>
      <c r="E311" s="9">
        <f>($B$3+$B$4)*SIN(C311)-$B$4*SIN((($B$3+$B$4)/$B$4)*C311)</f>
        <v>-24.93013817359601</v>
      </c>
      <c r="F311" s="5"/>
      <c r="G311" s="5"/>
      <c r="H311" s="5"/>
    </row>
    <row r="312" spans="1:8" x14ac:dyDescent="0.3">
      <c r="A312" s="9">
        <f>ROW()-ROW($A$14)</f>
        <v>298</v>
      </c>
      <c r="B312" s="9">
        <f>IF(A312&lt;=$B$8,$B$6+(A312-1)*($B$7-$B$6)/MAX(1,$B$8-1),NA())</f>
        <v>297</v>
      </c>
      <c r="C312" s="9">
        <f>RADIANS(B312)</f>
        <v>5.1836278784231586</v>
      </c>
      <c r="D312" s="9">
        <f>($B$3+$B$4)*COS(C312)-$B$4*COS((($B$3+$B$4)/$B$4)*C312)</f>
        <v>8.864432410710636</v>
      </c>
      <c r="E312" s="9">
        <f>($B$3+$B$4)*SIN(C312)-$B$4*SIN((($B$3+$B$4)/$B$4)*C312)</f>
        <v>-25.185110753776286</v>
      </c>
      <c r="F312" s="5"/>
      <c r="G312" s="5"/>
      <c r="H312" s="5"/>
    </row>
    <row r="313" spans="1:8" x14ac:dyDescent="0.3">
      <c r="A313" s="9">
        <f>ROW()-ROW($A$14)</f>
        <v>299</v>
      </c>
      <c r="B313" s="9">
        <f>IF(A313&lt;=$B$8,$B$6+(A313-1)*($B$7-$B$6)/MAX(1,$B$8-1),NA())</f>
        <v>298</v>
      </c>
      <c r="C313" s="9">
        <f>RADIANS(B313)</f>
        <v>5.2010811709431017</v>
      </c>
      <c r="D313" s="9">
        <f>($B$3+$B$4)*COS(C313)-$B$4*COS((($B$3+$B$4)/$B$4)*C313)</f>
        <v>9.1934088799076861</v>
      </c>
      <c r="E313" s="9">
        <f>($B$3+$B$4)*SIN(C313)-$B$4*SIN((($B$3+$B$4)/$B$4)*C313)</f>
        <v>-25.448869331679003</v>
      </c>
      <c r="F313" s="5"/>
      <c r="G313" s="5"/>
      <c r="H313" s="5"/>
    </row>
    <row r="314" spans="1:8" x14ac:dyDescent="0.3">
      <c r="A314" s="9">
        <f>ROW()-ROW($A$14)</f>
        <v>300</v>
      </c>
      <c r="B314" s="9">
        <f>IF(A314&lt;=$B$8,$B$6+(A314-1)*($B$7-$B$6)/MAX(1,$B$8-1),NA())</f>
        <v>299</v>
      </c>
      <c r="C314" s="9">
        <f>RADIANS(B314)</f>
        <v>5.2185344634630457</v>
      </c>
      <c r="D314" s="9">
        <f>($B$3+$B$4)*COS(C314)-$B$4*COS((($B$3+$B$4)/$B$4)*C314)</f>
        <v>9.5716791305487519</v>
      </c>
      <c r="E314" s="9">
        <f>($B$3+$B$4)*SIN(C314)-$B$4*SIN((($B$3+$B$4)/$B$4)*C314)</f>
        <v>-25.71594889784361</v>
      </c>
      <c r="F314" s="5"/>
      <c r="G314" s="5"/>
      <c r="H314" s="5"/>
    </row>
    <row r="315" spans="1:8" x14ac:dyDescent="0.3">
      <c r="A315" s="9">
        <f>ROW()-ROW($A$14)</f>
        <v>301</v>
      </c>
      <c r="B315" s="9">
        <f>IF(A315&lt;=$B$8,$B$6+(A315-1)*($B$7-$B$6)/MAX(1,$B$8-1),NA())</f>
        <v>300</v>
      </c>
      <c r="C315" s="9">
        <f>RADIANS(B315)</f>
        <v>5.2359877559829888</v>
      </c>
      <c r="D315" s="9">
        <f>($B$3+$B$4)*COS(C315)-$B$4*COS((($B$3+$B$4)/$B$4)*C315)</f>
        <v>10.000000000000004</v>
      </c>
      <c r="E315" s="9">
        <f>($B$3+$B$4)*SIN(C315)-$B$4*SIN((($B$3+$B$4)/$B$4)*C315)</f>
        <v>-25.980762113533149</v>
      </c>
      <c r="F315" s="5"/>
      <c r="G315" s="5"/>
      <c r="H315" s="5"/>
    </row>
    <row r="316" spans="1:8" x14ac:dyDescent="0.3">
      <c r="A316" s="9">
        <f>ROW()-ROW($A$14)</f>
        <v>302</v>
      </c>
      <c r="B316" s="9">
        <f>IF(A316&lt;=$B$8,$B$6+(A316-1)*($B$7-$B$6)/MAX(1,$B$8-1),NA())</f>
        <v>301</v>
      </c>
      <c r="C316" s="9">
        <f>RADIANS(B316)</f>
        <v>5.2534410485029319</v>
      </c>
      <c r="D316" s="9">
        <f>($B$3+$B$4)*COS(C316)-$B$4*COS((($B$3+$B$4)/$B$4)*C316)</f>
        <v>10.478532770460259</v>
      </c>
      <c r="E316" s="9">
        <f>($B$3+$B$4)*SIN(C316)-$B$4*SIN((($B$3+$B$4)/$B$4)*C316)</f>
        <v>-26.237661337401633</v>
      </c>
      <c r="F316" s="5"/>
      <c r="G316" s="5"/>
      <c r="H316" s="5"/>
    </row>
    <row r="317" spans="1:8" x14ac:dyDescent="0.3">
      <c r="A317" s="9">
        <f>ROW()-ROW($A$14)</f>
        <v>303</v>
      </c>
      <c r="B317" s="9">
        <f>IF(A317&lt;=$B$8,$B$6+(A317-1)*($B$7-$B$6)/MAX(1,$B$8-1),NA())</f>
        <v>302</v>
      </c>
      <c r="C317" s="9">
        <f>RADIANS(B317)</f>
        <v>5.270894341022875</v>
      </c>
      <c r="D317" s="9">
        <f>($B$3+$B$4)*COS(C317)-$B$4*COS((($B$3+$B$4)/$B$4)*C317)</f>
        <v>11.006839923327112</v>
      </c>
      <c r="E317" s="9">
        <f>($B$3+$B$4)*SIN(C317)-$B$4*SIN((($B$3+$B$4)/$B$4)*C317)</f>
        <v>-26.481001338781581</v>
      </c>
      <c r="F317" s="5"/>
      <c r="G317" s="5"/>
      <c r="H317" s="5"/>
    </row>
    <row r="318" spans="1:8" x14ac:dyDescent="0.3">
      <c r="A318" s="9">
        <f>ROW()-ROW($A$14)</f>
        <v>304</v>
      </c>
      <c r="B318" s="9">
        <f>IF(A318&lt;=$B$8,$B$6+(A318-1)*($B$7-$B$6)/MAX(1,$B$8-1),NA())</f>
        <v>303</v>
      </c>
      <c r="C318" s="9">
        <f>RADIANS(B318)</f>
        <v>5.2883476335428181</v>
      </c>
      <c r="D318" s="9">
        <f>($B$3+$B$4)*COS(C318)-$B$4*COS((($B$3+$B$4)/$B$4)*C318)</f>
        <v>11.583888468975026</v>
      </c>
      <c r="E318" s="9">
        <f>($B$3+$B$4)*SIN(C318)-$B$4*SIN((($B$3+$B$4)/$B$4)*C318)</f>
        <v>-26.70520201023745</v>
      </c>
      <c r="F318" s="5"/>
      <c r="G318" s="5"/>
      <c r="H318" s="5"/>
    </row>
    <row r="319" spans="1:8" x14ac:dyDescent="0.3">
      <c r="A319" s="9">
        <f>ROW()-ROW($A$14)</f>
        <v>305</v>
      </c>
      <c r="B319" s="9">
        <f>IF(A319&lt;=$B$8,$B$6+(A319-1)*($B$7-$B$6)/MAX(1,$B$8-1),NA())</f>
        <v>304</v>
      </c>
      <c r="C319" s="9">
        <f>RADIANS(B319)</f>
        <v>5.3058009260627621</v>
      </c>
      <c r="D319" s="9">
        <f>($B$3+$B$4)*COS(C319)-$B$4*COS((($B$3+$B$4)/$B$4)*C319)</f>
        <v>12.208059815909408</v>
      </c>
      <c r="E319" s="9">
        <f>($B$3+$B$4)*SIN(C319)-$B$4*SIN((($B$3+$B$4)/$B$4)*C319)</f>
        <v>-26.904810392030257</v>
      </c>
      <c r="F319" s="5"/>
      <c r="G319" s="5"/>
      <c r="H319" s="5"/>
    </row>
    <row r="320" spans="1:8" x14ac:dyDescent="0.3">
      <c r="A320" s="9">
        <f>ROW()-ROW($A$14)</f>
        <v>306</v>
      </c>
      <c r="B320" s="9">
        <f>IF(A320&lt;=$B$8,$B$6+(A320-1)*($B$7-$B$6)/MAX(1,$B$8-1),NA())</f>
        <v>305</v>
      </c>
      <c r="C320" s="9">
        <f>RADIANS(B320)</f>
        <v>5.3232542185827052</v>
      </c>
      <c r="D320" s="9">
        <f>($B$3+$B$4)*COS(C320)-$B$4*COS((($B$3+$B$4)/$B$4)*C320)</f>
        <v>12.87716607160919</v>
      </c>
      <c r="E320" s="9">
        <f>($B$3+$B$4)*SIN(C320)-$B$4*SIN((($B$3+$B$4)/$B$4)*C320)</f>
        <v>-27.074561328669763</v>
      </c>
      <c r="F320" s="5"/>
      <c r="G320" s="5"/>
      <c r="H320" s="5"/>
    </row>
    <row r="321" spans="1:8" x14ac:dyDescent="0.3">
      <c r="A321" s="9">
        <f>ROW()-ROW($A$14)</f>
        <v>307</v>
      </c>
      <c r="B321" s="9">
        <f>IF(A321&lt;=$B$8,$B$6+(A321-1)*($B$7-$B$6)/MAX(1,$B$8-1),NA())</f>
        <v>306</v>
      </c>
      <c r="C321" s="9">
        <f>RADIANS(B321)</f>
        <v>5.3407075111026483</v>
      </c>
      <c r="D321" s="9">
        <f>($B$3+$B$4)*COS(C321)-$B$4*COS((($B$3+$B$4)/$B$4)*C321)</f>
        <v>13.588472596899436</v>
      </c>
      <c r="E321" s="9">
        <f>($B$3+$B$4)*SIN(C321)-$B$4*SIN((($B$3+$B$4)/$B$4)*C321)</f>
        <v>-27.209436092710771</v>
      </c>
      <c r="F321" s="5"/>
      <c r="G321" s="5"/>
      <c r="H321" s="5"/>
    </row>
    <row r="322" spans="1:8" x14ac:dyDescent="0.3">
      <c r="A322" s="9">
        <f>ROW()-ROW($A$14)</f>
        <v>308</v>
      </c>
      <c r="B322" s="9">
        <f>IF(A322&lt;=$B$8,$B$6+(A322-1)*($B$7-$B$6)/MAX(1,$B$8-1),NA())</f>
        <v>307</v>
      </c>
      <c r="C322" s="9">
        <f>RADIANS(B322)</f>
        <v>5.3581608036225914</v>
      </c>
      <c r="D322" s="9">
        <f>($B$3+$B$4)*COS(C322)-$B$4*COS((($B$3+$B$4)/$B$4)*C322)</f>
        <v>14.338726567174454</v>
      </c>
      <c r="E322" s="9">
        <f>($B$3+$B$4)*SIN(C322)-$B$4*SIN((($B$3+$B$4)/$B$4)*C322)</f>
        <v>-27.304718333213067</v>
      </c>
      <c r="F322" s="5"/>
      <c r="G322" s="5"/>
      <c r="H322" s="5"/>
    </row>
    <row r="323" spans="1:8" x14ac:dyDescent="0.3">
      <c r="A323" s="9">
        <f>ROW()-ROW($A$14)</f>
        <v>309</v>
      </c>
      <c r="B323" s="9">
        <f>IF(A323&lt;=$B$8,$B$6+(A323-1)*($B$7-$B$6)/MAX(1,$B$8-1),NA())</f>
        <v>308</v>
      </c>
      <c r="C323" s="9">
        <f>RADIANS(B323)</f>
        <v>5.3756140961425354</v>
      </c>
      <c r="D323" s="9">
        <f>($B$3+$B$4)*COS(C323)-$B$4*COS((($B$3+$B$4)/$B$4)*C323)</f>
        <v>15.124191227975476</v>
      </c>
      <c r="E323" s="9">
        <f>($B$3+$B$4)*SIN(C323)-$B$4*SIN((($B$3+$B$4)/$B$4)*C323)</f>
        <v>-27.356046735588638</v>
      </c>
      <c r="F323" s="5"/>
      <c r="G323" s="5"/>
      <c r="H323" s="5"/>
    </row>
    <row r="324" spans="1:8" x14ac:dyDescent="0.3">
      <c r="A324" s="9">
        <f>ROW()-ROW($A$14)</f>
        <v>310</v>
      </c>
      <c r="B324" s="9">
        <f>IF(A324&lt;=$B$8,$B$6+(A324-1)*($B$7-$B$6)/MAX(1,$B$8-1),NA())</f>
        <v>309</v>
      </c>
      <c r="C324" s="9">
        <f>RADIANS(B324)</f>
        <v>5.3930673886624785</v>
      </c>
      <c r="D324" s="9">
        <f>($B$3+$B$4)*COS(C324)-$B$4*COS((($B$3+$B$4)/$B$4)*C324)</f>
        <v>15.940685470032747</v>
      </c>
      <c r="E324" s="9">
        <f>($B$3+$B$4)*SIN(C324)-$B$4*SIN((($B$3+$B$4)/$B$4)*C324)</f>
        <v>-27.359463815583855</v>
      </c>
      <c r="F324" s="5"/>
      <c r="G324" s="5"/>
      <c r="H324" s="5"/>
    </row>
    <row r="325" spans="1:8" x14ac:dyDescent="0.3">
      <c r="A325" s="9">
        <f>ROW()-ROW($A$14)</f>
        <v>311</v>
      </c>
      <c r="B325" s="9">
        <f>IF(A325&lt;=$B$8,$B$6+(A325-1)*($B$7-$B$6)/MAX(1,$B$8-1),NA())</f>
        <v>310</v>
      </c>
      <c r="C325" s="9">
        <f>RADIANS(B325)</f>
        <v>5.4105206811824216</v>
      </c>
      <c r="D325" s="9">
        <f>($B$3+$B$4)*COS(C325)-$B$4*COS((($B$3+$B$4)/$B$4)*C325)</f>
        <v>16.783628290596166</v>
      </c>
      <c r="E325" s="9">
        <f>($B$3+$B$4)*SIN(C325)-$B$4*SIN((($B$3+$B$4)/$B$4)*C325)</f>
        <v>-27.31146031249153</v>
      </c>
      <c r="F325" s="5"/>
      <c r="G325" s="5"/>
      <c r="H325" s="5"/>
    </row>
    <row r="326" spans="1:8" x14ac:dyDescent="0.3">
      <c r="A326" s="9">
        <f>ROW()-ROW($A$14)</f>
        <v>312</v>
      </c>
      <c r="B326" s="9">
        <f>IF(A326&lt;=$B$8,$B$6+(A326-1)*($B$7-$B$6)/MAX(1,$B$8-1),NA())</f>
        <v>311</v>
      </c>
      <c r="C326" s="9">
        <f>RADIANS(B326)</f>
        <v>5.4279739737023647</v>
      </c>
      <c r="D326" s="9">
        <f>($B$3+$B$4)*COS(C326)-$B$4*COS((($B$3+$B$4)/$B$4)*C326)</f>
        <v>17.648087654336202</v>
      </c>
      <c r="E326" s="9">
        <f>($B$3+$B$4)*SIN(C326)-$B$4*SIN((($B$3+$B$4)/$B$4)*C326)</f>
        <v>-27.209014694896165</v>
      </c>
      <c r="F326" s="5"/>
      <c r="G326" s="5"/>
      <c r="H326" s="5"/>
    </row>
    <row r="327" spans="1:8" x14ac:dyDescent="0.3">
      <c r="A327" s="9">
        <f>ROW()-ROW($A$14)</f>
        <v>313</v>
      </c>
      <c r="B327" s="9">
        <f>IF(A327&lt;=$B$8,$B$6+(A327-1)*($B$7-$B$6)/MAX(1,$B$8-1),NA())</f>
        <v>312</v>
      </c>
      <c r="C327" s="9">
        <f>RADIANS(B327)</f>
        <v>5.4454272662223078</v>
      </c>
      <c r="D327" s="9">
        <f>($B$3+$B$4)*COS(C327)-$B$4*COS((($B$3+$B$4)/$B$4)*C327)</f>
        <v>18.528833218890991</v>
      </c>
      <c r="E327" s="9">
        <f>($B$3+$B$4)*SIN(C327)-$B$4*SIN((($B$3+$B$4)/$B$4)*C327)</f>
        <v>-27.049627345797603</v>
      </c>
      <c r="F327" s="5"/>
      <c r="G327" s="5"/>
      <c r="H327" s="5"/>
    </row>
    <row r="328" spans="1:8" x14ac:dyDescent="0.3">
      <c r="A328" s="9">
        <f>ROW()-ROW($A$14)</f>
        <v>314</v>
      </c>
      <c r="B328" s="9">
        <f>IF(A328&lt;=$B$8,$B$6+(A328-1)*($B$7-$B$6)/MAX(1,$B$8-1),NA())</f>
        <v>313</v>
      </c>
      <c r="C328" s="9">
        <f>RADIANS(B328)</f>
        <v>5.4628805587422518</v>
      </c>
      <c r="D328" s="9">
        <f>($B$3+$B$4)*COS(C328)-$B$4*COS((($B$3+$B$4)/$B$4)*C328)</f>
        <v>19.420392347786155</v>
      </c>
      <c r="E328" s="9">
        <f>($B$3+$B$4)*SIN(C328)-$B$4*SIN((($B$3+$B$4)/$B$4)*C328)</f>
        <v>-26.831349052244139</v>
      </c>
      <c r="F328" s="5"/>
      <c r="G328" s="5"/>
      <c r="H328" s="5"/>
    </row>
    <row r="329" spans="1:8" x14ac:dyDescent="0.3">
      <c r="A329" s="9">
        <f>ROW()-ROW($A$14)</f>
        <v>315</v>
      </c>
      <c r="B329" s="9">
        <f>IF(A329&lt;=$B$8,$B$6+(A329-1)*($B$7-$B$6)/MAX(1,$B$8-1),NA())</f>
        <v>314</v>
      </c>
      <c r="C329" s="9">
        <f>RADIANS(B329)</f>
        <v>5.4803338512621949</v>
      </c>
      <c r="D329" s="9">
        <f>($B$3+$B$4)*COS(C329)-$B$4*COS((($B$3+$B$4)/$B$4)*C329)</f>
        <v>20.317108797431651</v>
      </c>
      <c r="E329" s="9">
        <f>($B$3+$B$4)*SIN(C329)-$B$4*SIN((($B$3+$B$4)/$B$4)*C329)</f>
        <v>-26.552803487000901</v>
      </c>
      <c r="F329" s="5"/>
      <c r="G329" s="5"/>
      <c r="H329" s="5"/>
    </row>
    <row r="330" spans="1:8" x14ac:dyDescent="0.3">
      <c r="A330" s="9">
        <f>ROW()-ROW($A$14)</f>
        <v>316</v>
      </c>
      <c r="B330" s="9">
        <f>IF(A330&lt;=$B$8,$B$6+(A330-1)*($B$7-$B$6)/MAX(1,$B$8-1),NA())</f>
        <v>315</v>
      </c>
      <c r="C330" s="9">
        <f>RADIANS(B330)</f>
        <v>5.497787143782138</v>
      </c>
      <c r="D330" s="9">
        <f>($B$3+$B$4)*COS(C330)-$B$4*COS((($B$3+$B$4)/$B$4)*C330)</f>
        <v>21.213203435596423</v>
      </c>
      <c r="E330" s="9">
        <f>($B$3+$B$4)*SIN(C330)-$B$4*SIN((($B$3+$B$4)/$B$4)*C330)</f>
        <v>-26.21320343559643</v>
      </c>
      <c r="F330" s="5"/>
      <c r="G330" s="5"/>
      <c r="H330" s="5"/>
    </row>
    <row r="331" spans="1:8" x14ac:dyDescent="0.3">
      <c r="A331" s="9">
        <f>ROW()-ROW($A$14)</f>
        <v>317</v>
      </c>
      <c r="B331" s="9">
        <f>IF(A331&lt;=$B$8,$B$6+(A331-1)*($B$7-$B$6)/MAX(1,$B$8-1),NA())</f>
        <v>316</v>
      </c>
      <c r="C331" s="9">
        <f>RADIANS(B331)</f>
        <v>5.5152404363020811</v>
      </c>
      <c r="D331" s="9">
        <f>($B$3+$B$4)*COS(C331)-$B$4*COS((($B$3+$B$4)/$B$4)*C331)</f>
        <v>22.102836326497801</v>
      </c>
      <c r="E331" s="9">
        <f>($B$3+$B$4)*SIN(C331)-$B$4*SIN((($B$3+$B$4)/$B$4)*C331)</f>
        <v>-25.812360590611295</v>
      </c>
      <c r="F331" s="5"/>
      <c r="G331" s="5"/>
      <c r="H331" s="5"/>
    </row>
    <row r="332" spans="1:8" x14ac:dyDescent="0.3">
      <c r="A332" s="9">
        <f>ROW()-ROW($A$14)</f>
        <v>318</v>
      </c>
      <c r="B332" s="9">
        <f>IF(A332&lt;=$B$8,$B$6+(A332-1)*($B$7-$B$6)/MAX(1,$B$8-1),NA())</f>
        <v>317</v>
      </c>
      <c r="C332" s="9">
        <f>RADIANS(B332)</f>
        <v>5.532693728822025</v>
      </c>
      <c r="D332" s="9">
        <f>($B$3+$B$4)*COS(C332)-$B$4*COS((($B$3+$B$4)/$B$4)*C332)</f>
        <v>22.980169502663927</v>
      </c>
      <c r="E332" s="9">
        <f>($B$3+$B$4)*SIN(C332)-$B$4*SIN((($B$3+$B$4)/$B$4)*C332)</f>
        <v>-25.350688805543975</v>
      </c>
      <c r="F332" s="5"/>
      <c r="G332" s="5"/>
      <c r="H332" s="5"/>
    </row>
    <row r="333" spans="1:8" x14ac:dyDescent="0.3">
      <c r="A333" s="9">
        <f>ROW()-ROW($A$14)</f>
        <v>319</v>
      </c>
      <c r="B333" s="9">
        <f>IF(A333&lt;=$B$8,$B$6+(A333-1)*($B$7-$B$6)/MAX(1,$B$8-1),NA())</f>
        <v>318</v>
      </c>
      <c r="C333" s="9">
        <f>RADIANS(B333)</f>
        <v>5.5501470213419681</v>
      </c>
      <c r="D333" s="9">
        <f>($B$3+$B$4)*COS(C333)-$B$4*COS((($B$3+$B$4)/$B$4)*C333)</f>
        <v>23.839429736196575</v>
      </c>
      <c r="E333" s="9">
        <f>($B$3+$B$4)*SIN(C333)-$B$4*SIN((($B$3+$B$4)/$B$4)*C333)</f>
        <v>-24.82920077224151</v>
      </c>
      <c r="F333" s="5"/>
      <c r="G333" s="5"/>
      <c r="H333" s="5"/>
    </row>
    <row r="334" spans="1:8" x14ac:dyDescent="0.3">
      <c r="A334" s="9">
        <f>ROW()-ROW($A$14)</f>
        <v>320</v>
      </c>
      <c r="B334" s="9">
        <f>IF(A334&lt;=$B$8,$B$6+(A334-1)*($B$7-$B$6)/MAX(1,$B$8-1),NA())</f>
        <v>319</v>
      </c>
      <c r="C334" s="9">
        <f>RADIANS(B334)</f>
        <v>5.5676003138619112</v>
      </c>
      <c r="D334" s="9">
        <f>($B$3+$B$4)*COS(C334)-$B$4*COS((($B$3+$B$4)/$B$4)*C334)</f>
        <v>24.674970622062173</v>
      </c>
      <c r="E334" s="9">
        <f>($B$3+$B$4)*SIN(C334)-$B$4*SIN((($B$3+$B$4)/$B$4)*C334)</f>
        <v>-24.249498157928222</v>
      </c>
      <c r="F334" s="5"/>
      <c r="G334" s="5"/>
      <c r="H334" s="5"/>
    </row>
    <row r="335" spans="1:8" x14ac:dyDescent="0.3">
      <c r="A335" s="9">
        <f>ROW()-ROW($A$14)</f>
        <v>321</v>
      </c>
      <c r="B335" s="9">
        <f>IF(A335&lt;=$B$8,$B$6+(A335-1)*($B$7-$B$6)/MAX(1,$B$8-1),NA())</f>
        <v>320</v>
      </c>
      <c r="C335" s="9">
        <f>RADIANS(B335)</f>
        <v>5.5850536063818543</v>
      </c>
      <c r="D335" s="9">
        <f>($B$3+$B$4)*COS(C335)-$B$4*COS((($B$3+$B$4)/$B$4)*C335)</f>
        <v>25.481333293569321</v>
      </c>
      <c r="E335" s="9">
        <f>($B$3+$B$4)*SIN(C335)-$B$4*SIN((($B$3+$B$4)/$B$4)*C335)</f>
        <v>-23.613755309518389</v>
      </c>
      <c r="F335" s="5"/>
      <c r="G335" s="5"/>
      <c r="H335" s="5"/>
    </row>
    <row r="336" spans="1:8" x14ac:dyDescent="0.3">
      <c r="A336" s="9">
        <f>ROW()-ROW($A$14)</f>
        <v>322</v>
      </c>
      <c r="B336" s="9">
        <f>IF(A336&lt;=$B$8,$B$6+(A336-1)*($B$7-$B$6)/MAX(1,$B$8-1),NA())</f>
        <v>321</v>
      </c>
      <c r="C336" s="9">
        <f>RADIANS(B336)</f>
        <v>5.6025068989017974</v>
      </c>
      <c r="D336" s="9">
        <f>($B$3+$B$4)*COS(C336)-$B$4*COS((($B$3+$B$4)/$B$4)*C336)</f>
        <v>26.253305105171471</v>
      </c>
      <c r="E336" s="9">
        <f>($B$3+$B$4)*SIN(C336)-$B$4*SIN((($B$3+$B$4)/$B$4)*C336)</f>
        <v>-22.924696703369882</v>
      </c>
      <c r="F336" s="5"/>
      <c r="G336" s="5"/>
      <c r="H336" s="5"/>
    </row>
    <row r="337" spans="1:8" x14ac:dyDescent="0.3">
      <c r="A337" s="9">
        <f>ROW()-ROW($A$14)</f>
        <v>323</v>
      </c>
      <c r="B337" s="9">
        <f>IF(A337&lt;=$B$8,$B$6+(A337-1)*($B$7-$B$6)/MAX(1,$B$8-1),NA())</f>
        <v>322</v>
      </c>
      <c r="C337" s="9">
        <f>RADIANS(B337)</f>
        <v>5.6199601914217414</v>
      </c>
      <c r="D337" s="9">
        <f>($B$3+$B$4)*COS(C337)-$B$4*COS((($B$3+$B$4)/$B$4)*C337)</f>
        <v>26.985975639995971</v>
      </c>
      <c r="E337" s="9">
        <f>($B$3+$B$4)*SIN(C337)-$B$4*SIN((($B$3+$B$4)/$B$4)*C337)</f>
        <v>-22.1855683871567</v>
      </c>
      <c r="F337" s="5"/>
      <c r="G337" s="5"/>
      <c r="H337" s="5"/>
    </row>
    <row r="338" spans="1:8" x14ac:dyDescent="0.3">
      <c r="A338" s="9">
        <f>ROW()-ROW($A$14)</f>
        <v>324</v>
      </c>
      <c r="B338" s="9">
        <f>IF(A338&lt;=$B$8,$B$6+(A338-1)*($B$7-$B$6)/MAX(1,$B$8-1),NA())</f>
        <v>323</v>
      </c>
      <c r="C338" s="9">
        <f>RADIANS(B338)</f>
        <v>5.6374134839416845</v>
      </c>
      <c r="D338" s="9">
        <f>($B$3+$B$4)*COS(C338)-$B$4*COS((($B$3+$B$4)/$B$4)*C338)</f>
        <v>27.674789428805752</v>
      </c>
      <c r="E338" s="9">
        <f>($B$3+$B$4)*SIN(C338)-$B$4*SIN((($B$3+$B$4)/$B$4)*C338)</f>
        <v>-21.400103726355749</v>
      </c>
      <c r="F338" s="5"/>
      <c r="G338" s="5"/>
      <c r="H338" s="5"/>
    </row>
    <row r="339" spans="1:8" x14ac:dyDescent="0.3">
      <c r="A339" s="9">
        <f>ROW()-ROW($A$14)</f>
        <v>325</v>
      </c>
      <c r="B339" s="9">
        <f>IF(A339&lt;=$B$8,$B$6+(A339-1)*($B$7-$B$6)/MAX(1,$B$8-1),NA())</f>
        <v>324</v>
      </c>
      <c r="C339" s="9">
        <f>RADIANS(B339)</f>
        <v>5.6548667764616276</v>
      </c>
      <c r="D339" s="9">
        <f>($B$3+$B$4)*COS(C339)-$B$4*COS((($B$3+$B$4)/$B$4)*C339)</f>
        <v>28.315594803123155</v>
      </c>
      <c r="E339" s="9">
        <f>($B$3+$B$4)*SIN(C339)-$B$4*SIN((($B$3+$B$4)/$B$4)*C339)</f>
        <v>-20.572483830236571</v>
      </c>
      <c r="F339" s="5"/>
      <c r="G339" s="5"/>
      <c r="H339" s="5"/>
    </row>
    <row r="340" spans="1:8" x14ac:dyDescent="0.3">
      <c r="A340" s="9">
        <f>ROW()-ROW($A$14)</f>
        <v>326</v>
      </c>
      <c r="B340" s="9">
        <f>IF(A340&lt;=$B$8,$B$6+(A340-1)*($B$7-$B$6)/MAX(1,$B$8-1),NA())</f>
        <v>325</v>
      </c>
      <c r="C340" s="9">
        <f>RADIANS(B340)</f>
        <v>5.6723200689815707</v>
      </c>
      <c r="D340" s="9">
        <f>($B$3+$B$4)*COS(C340)-$B$4*COS((($B$3+$B$4)/$B$4)*C340)</f>
        <v>28.904688347591939</v>
      </c>
      <c r="E340" s="9">
        <f>($B$3+$B$4)*SIN(C340)-$B$4*SIN((($B$3+$B$4)/$B$4)*C340)</f>
        <v>-19.707293090531397</v>
      </c>
      <c r="F340" s="5"/>
      <c r="G340" s="5"/>
      <c r="H340" s="5"/>
    </row>
    <row r="341" spans="1:8" x14ac:dyDescent="0.3">
      <c r="A341" s="9">
        <f>ROW()-ROW($A$14)</f>
        <v>327</v>
      </c>
      <c r="B341" s="9">
        <f>IF(A341&lt;=$B$8,$B$6+(A341-1)*($B$7-$B$6)/MAX(1,$B$8-1),NA())</f>
        <v>326</v>
      </c>
      <c r="C341" s="9">
        <f>RADIANS(B341)</f>
        <v>5.6897733615015147</v>
      </c>
      <c r="D341" s="9">
        <f>($B$3+$B$4)*COS(C341)-$B$4*COS((($B$3+$B$4)/$B$4)*C341)</f>
        <v>29.43885446486426</v>
      </c>
      <c r="E341" s="9">
        <f>($B$3+$B$4)*SIN(C341)-$B$4*SIN((($B$3+$B$4)/$B$4)*C341)</f>
        <v>-18.809470319501401</v>
      </c>
      <c r="F341" s="5"/>
      <c r="G341" s="5"/>
      <c r="H341" s="5"/>
    </row>
    <row r="342" spans="1:8" x14ac:dyDescent="0.3">
      <c r="A342" s="9">
        <f>ROW()-ROW($A$14)</f>
        <v>328</v>
      </c>
      <c r="B342" s="9">
        <f>IF(A342&lt;=$B$8,$B$6+(A342-1)*($B$7-$B$6)/MAX(1,$B$8-1),NA())</f>
        <v>327</v>
      </c>
      <c r="C342" s="9">
        <f>RADIANS(B342)</f>
        <v>5.7072266540214578</v>
      </c>
      <c r="D342" s="9">
        <f>($B$3+$B$4)*COS(C342)-$B$4*COS((($B$3+$B$4)/$B$4)*C342)</f>
        <v>29.915399619838489</v>
      </c>
      <c r="E342" s="9">
        <f>($B$3+$B$4)*SIN(C342)-$B$4*SIN((($B$3+$B$4)/$B$4)*C342)</f>
        <v>-17.884256022325545</v>
      </c>
      <c r="F342" s="5"/>
      <c r="G342" s="5"/>
      <c r="H342" s="5"/>
    </row>
    <row r="343" spans="1:8" x14ac:dyDescent="0.3">
      <c r="A343" s="9">
        <f>ROW()-ROW($A$14)</f>
        <v>329</v>
      </c>
      <c r="B343" s="9">
        <f>IF(A343&lt;=$B$8,$B$6+(A343-1)*($B$7-$B$6)/MAX(1,$B$8-1),NA())</f>
        <v>328</v>
      </c>
      <c r="C343" s="9">
        <f>RADIANS(B343)</f>
        <v>5.7246799465414009</v>
      </c>
      <c r="D343" s="9">
        <f>($B$3+$B$4)*COS(C343)-$B$4*COS((($B$3+$B$4)/$B$4)*C343)</f>
        <v>30.332180888361808</v>
      </c>
      <c r="E343" s="9">
        <f>($B$3+$B$4)*SIN(C343)-$B$4*SIN((($B$3+$B$4)/$B$4)*C343)</f>
        <v>-16.937136381084944</v>
      </c>
      <c r="F343" s="5"/>
      <c r="G343" s="5"/>
      <c r="H343" s="5"/>
    </row>
    <row r="344" spans="1:8" x14ac:dyDescent="0.3">
      <c r="A344" s="9">
        <f>ROW()-ROW($A$14)</f>
        <v>330</v>
      </c>
      <c r="B344" s="9">
        <f>IF(A344&lt;=$B$8,$B$6+(A344-1)*($B$7-$B$6)/MAX(1,$B$8-1),NA())</f>
        <v>329</v>
      </c>
      <c r="C344" s="9">
        <f>RADIANS(B344)</f>
        <v>5.742133239061344</v>
      </c>
      <c r="D344" s="9">
        <f>($B$3+$B$4)*COS(C344)-$B$4*COS((($B$3+$B$4)/$B$4)*C344)</f>
        <v>30.687628497904726</v>
      </c>
      <c r="E344" s="9">
        <f>($B$3+$B$4)*SIN(C344)-$B$4*SIN((($B$3+$B$4)/$B$4)*C344)</f>
        <v>-15.97378456363993</v>
      </c>
      <c r="F344" s="5"/>
      <c r="G344" s="5"/>
      <c r="H344" s="5"/>
    </row>
    <row r="345" spans="1:8" x14ac:dyDescent="0.3">
      <c r="A345" s="9">
        <f>ROW()-ROW($A$14)</f>
        <v>331</v>
      </c>
      <c r="B345" s="9">
        <f>IF(A345&lt;=$B$8,$B$6+(A345-1)*($B$7-$B$6)/MAX(1,$B$8-1),NA())</f>
        <v>330</v>
      </c>
      <c r="C345" s="9">
        <f>RADIANS(B345)</f>
        <v>5.7595865315812871</v>
      </c>
      <c r="D345" s="9">
        <f>($B$3+$B$4)*COS(C345)-$B$4*COS((($B$3+$B$4)/$B$4)*C345)</f>
        <v>30.980762113533153</v>
      </c>
      <c r="E345" s="9">
        <f>($B$3+$B$4)*SIN(C345)-$B$4*SIN((($B$3+$B$4)/$B$4)*C345)</f>
        <v>-15.000000000000039</v>
      </c>
      <c r="F345" s="5"/>
      <c r="G345" s="5"/>
      <c r="H345" s="5"/>
    </row>
    <row r="346" spans="1:8" x14ac:dyDescent="0.3">
      <c r="A346" s="9">
        <f>ROW()-ROW($A$14)</f>
        <v>332</v>
      </c>
      <c r="B346" s="9">
        <f>IF(A346&lt;=$B$8,$B$6+(A346-1)*($B$7-$B$6)/MAX(1,$B$8-1),NA())</f>
        <v>331</v>
      </c>
      <c r="C346" s="9">
        <f>RADIANS(B346)</f>
        <v>5.7770398241012311</v>
      </c>
      <c r="D346" s="9">
        <f>($B$3+$B$4)*COS(C346)-$B$4*COS((($B$3+$B$4)/$B$4)*C346)</f>
        <v>31.211200691023244</v>
      </c>
      <c r="E346" s="9">
        <f>($B$3+$B$4)*SIN(C346)-$B$4*SIN((($B$3+$B$4)/$B$4)*C346)</f>
        <v>-14.021646291051825</v>
      </c>
      <c r="F346" s="5"/>
      <c r="G346" s="5"/>
      <c r="H346" s="5"/>
    </row>
    <row r="347" spans="1:8" x14ac:dyDescent="0.3">
      <c r="A347" s="9">
        <f>ROW()-ROW($A$14)</f>
        <v>333</v>
      </c>
      <c r="B347" s="9">
        <f>IF(A347&lt;=$B$8,$B$6+(A347-1)*($B$7-$B$6)/MAX(1,$B$8-1),NA())</f>
        <v>332</v>
      </c>
      <c r="C347" s="9">
        <f>RADIANS(B347)</f>
        <v>5.7944931166211742</v>
      </c>
      <c r="D347" s="9">
        <f>($B$3+$B$4)*COS(C347)-$B$4*COS((($B$3+$B$4)/$B$4)*C347)</f>
        <v>31.37916578943684</v>
      </c>
      <c r="E347" s="9">
        <f>($B$3+$B$4)*SIN(C347)-$B$4*SIN((($B$3+$B$4)/$B$4)*C347)</f>
        <v>-13.044588429487945</v>
      </c>
      <c r="F347" s="5"/>
      <c r="G347" s="5"/>
      <c r="H347" s="5"/>
    </row>
    <row r="348" spans="1:8" x14ac:dyDescent="0.3">
      <c r="A348" s="9">
        <f>ROW()-ROW($A$14)</f>
        <v>334</v>
      </c>
      <c r="B348" s="9">
        <f>IF(A348&lt;=$B$8,$B$6+(A348-1)*($B$7-$B$6)/MAX(1,$B$8-1),NA())</f>
        <v>333</v>
      </c>
      <c r="C348" s="9">
        <f>RADIANS(B348)</f>
        <v>5.8119464091411173</v>
      </c>
      <c r="D348" s="9">
        <f>($B$3+$B$4)*COS(C348)-$B$4*COS((($B$3+$B$4)/$B$4)*C348)</f>
        <v>31.485478307126805</v>
      </c>
      <c r="E348" s="9">
        <f>($B$3+$B$4)*SIN(C348)-$B$4*SIN((($B$3+$B$4)/$B$4)*C348)</f>
        <v>-12.074630020311687</v>
      </c>
      <c r="F348" s="5"/>
      <c r="G348" s="5"/>
      <c r="H348" s="5"/>
    </row>
    <row r="349" spans="1:8" x14ac:dyDescent="0.3">
      <c r="A349" s="9">
        <f>ROW()-ROW($A$14)</f>
        <v>335</v>
      </c>
      <c r="B349" s="9">
        <f>IF(A349&lt;=$B$8,$B$6+(A349-1)*($B$7-$B$6)/MAX(1,$B$8-1),NA())</f>
        <v>334</v>
      </c>
      <c r="C349" s="9">
        <f>RADIANS(B349)</f>
        <v>5.8293997016610604</v>
      </c>
      <c r="D349" s="9">
        <f>($B$3+$B$4)*COS(C349)-$B$4*COS((($B$3+$B$4)/$B$4)*C349)</f>
        <v>31.531548677188017</v>
      </c>
      <c r="E349" s="9">
        <f>($B$3+$B$4)*SIN(C349)-$B$4*SIN((($B$3+$B$4)/$B$4)*C349)</f>
        <v>-11.117451188293344</v>
      </c>
      <c r="F349" s="5"/>
      <c r="G349" s="5"/>
      <c r="H349" s="5"/>
    </row>
    <row r="350" spans="1:8" x14ac:dyDescent="0.3">
      <c r="A350" s="9">
        <f>ROW()-ROW($A$14)</f>
        <v>336</v>
      </c>
      <c r="B350" s="9">
        <f>IF(A350&lt;=$B$8,$B$6+(A350-1)*($B$7-$B$6)/MAX(1,$B$8-1),NA())</f>
        <v>335</v>
      </c>
      <c r="C350" s="9">
        <f>RADIANS(B350)</f>
        <v>5.8468529941810043</v>
      </c>
      <c r="D350" s="9">
        <f>($B$3+$B$4)*COS(C350)-$B$4*COS((($B$3+$B$4)/$B$4)*C350)</f>
        <v>31.519360630021701</v>
      </c>
      <c r="E350" s="9">
        <f>($B$3+$B$4)*SIN(C350)-$B$4*SIN((($B$3+$B$4)/$B$4)*C350)</f>
        <v>-10.178547852220985</v>
      </c>
      <c r="F350" s="5"/>
      <c r="G350" s="5"/>
      <c r="H350" s="5"/>
    </row>
    <row r="351" spans="1:8" x14ac:dyDescent="0.3">
      <c r="A351" s="9">
        <f>ROW()-ROW($A$14)</f>
        <v>337</v>
      </c>
      <c r="B351" s="9">
        <f>IF(A351&lt;=$B$8,$B$6+(A351-1)*($B$7-$B$6)/MAX(1,$B$8-1),NA())</f>
        <v>336</v>
      </c>
      <c r="C351" s="9">
        <f>RADIANS(B351)</f>
        <v>5.8643062867009474</v>
      </c>
      <c r="D351" s="9">
        <f>($B$3+$B$4)*COS(C351)-$B$4*COS((($B$3+$B$4)/$B$4)*C351)</f>
        <v>31.451448701152771</v>
      </c>
      <c r="E351" s="9">
        <f>($B$3+$B$4)*SIN(C351)-$B$4*SIN((($B$3+$B$4)/$B$4)*C351)</f>
        <v>-9.2631730308116449</v>
      </c>
      <c r="F351" s="5"/>
      <c r="G351" s="5"/>
      <c r="H351" s="5"/>
    </row>
    <row r="352" spans="1:8" x14ac:dyDescent="0.3">
      <c r="A352" s="9">
        <f>ROW()-ROW($A$14)</f>
        <v>338</v>
      </c>
      <c r="B352" s="9">
        <f>IF(A352&lt;=$B$8,$B$6+(A352-1)*($B$7-$B$6)/MAX(1,$B$8-1),NA())</f>
        <v>337</v>
      </c>
      <c r="C352" s="9">
        <f>RADIANS(B352)</f>
        <v>5.8817595792208905</v>
      </c>
      <c r="D352" s="9">
        <f>($B$3+$B$4)*COS(C352)-$B$4*COS((($B$3+$B$4)/$B$4)*C352)</f>
        <v>31.330869730960181</v>
      </c>
      <c r="E352" s="9">
        <f>($B$3+$B$4)*SIN(C352)-$B$4*SIN((($B$3+$B$4)/$B$4)*C352)</f>
        <v>-8.3762808228839276</v>
      </c>
      <c r="F352" s="5"/>
      <c r="G352" s="5"/>
      <c r="H352" s="5"/>
    </row>
    <row r="353" spans="1:8" x14ac:dyDescent="0.3">
      <c r="A353" s="9">
        <f>ROW()-ROW($A$14)</f>
        <v>339</v>
      </c>
      <c r="B353" s="9">
        <f>IF(A353&lt;=$B$8,$B$6+(A353-1)*($B$7-$B$6)/MAX(1,$B$8-1),NA())</f>
        <v>338</v>
      </c>
      <c r="C353" s="9">
        <f>RADIANS(B353)</f>
        <v>5.8992128717408336</v>
      </c>
      <c r="D353" s="9">
        <f>($B$3+$B$4)*COS(C353)-$B$4*COS((($B$3+$B$4)/$B$4)*C353)</f>
        <v>31.161168668797913</v>
      </c>
      <c r="E353" s="9">
        <f>($B$3+$B$4)*SIN(C353)-$B$4*SIN((($B$3+$B$4)/$B$4)*C353)</f>
        <v>-7.5224736750904011</v>
      </c>
      <c r="F353" s="5"/>
      <c r="G353" s="5"/>
      <c r="H353" s="5"/>
    </row>
    <row r="354" spans="1:8" x14ac:dyDescent="0.3">
      <c r="A354" s="9">
        <f>ROW()-ROW($A$14)</f>
        <v>340</v>
      </c>
      <c r="B354" s="9">
        <f>IF(A354&lt;=$B$8,$B$6+(A354-1)*($B$7-$B$6)/MAX(1,$B$8-1),NA())</f>
        <v>339</v>
      </c>
      <c r="C354" s="9">
        <f>RADIANS(B354)</f>
        <v>5.9166661642607767</v>
      </c>
      <c r="D354" s="9">
        <f>($B$3+$B$4)*COS(C354)-$B$4*COS((($B$3+$B$4)/$B$4)*C354)</f>
        <v>30.94633905637841</v>
      </c>
      <c r="E354" s="9">
        <f>($B$3+$B$4)*SIN(C354)-$B$4*SIN((($B$3+$B$4)/$B$4)*C354)</f>
        <v>-6.7059535144842854</v>
      </c>
      <c r="F354" s="5"/>
      <c r="G354" s="5"/>
      <c r="H354" s="5"/>
    </row>
    <row r="355" spans="1:8" x14ac:dyDescent="0.3">
      <c r="A355" s="9">
        <f>ROW()-ROW($A$14)</f>
        <v>341</v>
      </c>
      <c r="B355" s="9">
        <f>IF(A355&lt;=$B$8,$B$6+(A355-1)*($B$7-$B$6)/MAX(1,$B$8-1),NA())</f>
        <v>340</v>
      </c>
      <c r="C355" s="9">
        <f>RADIANS(B355)</f>
        <v>5.9341194567807207</v>
      </c>
      <c r="D355" s="9">
        <f>($B$3+$B$4)*COS(C355)-$B$4*COS((($B$3+$B$4)/$B$4)*C355)</f>
        <v>30.690778623577248</v>
      </c>
      <c r="E355" s="9">
        <f>($B$3+$B$4)*SIN(C355)-$B$4*SIN((($B$3+$B$4)/$B$4)*C355)</f>
        <v>-5.930477280847863</v>
      </c>
      <c r="F355" s="5"/>
      <c r="G355" s="5"/>
      <c r="H355" s="5"/>
    </row>
    <row r="356" spans="1:8" x14ac:dyDescent="0.3">
      <c r="A356" s="9">
        <f>ROW()-ROW($A$14)</f>
        <v>342</v>
      </c>
      <c r="B356" s="9">
        <f>IF(A356&lt;=$B$8,$B$6+(A356-1)*($B$7-$B$6)/MAX(1,$B$8-1),NA())</f>
        <v>341</v>
      </c>
      <c r="C356" s="9">
        <f>RADIANS(B356)</f>
        <v>5.9515727493006638</v>
      </c>
      <c r="D356" s="9">
        <f>($B$3+$B$4)*COS(C356)-$B$4*COS((($B$3+$B$4)/$B$4)*C356)</f>
        <v>30.399240483358497</v>
      </c>
      <c r="E356" s="9">
        <f>($B$3+$B$4)*SIN(C356)-$B$4*SIN((($B$3+$B$4)/$B$4)*C356)</f>
        <v>-5.1993173455016928</v>
      </c>
      <c r="F356" s="5"/>
      <c r="G356" s="5"/>
      <c r="H356" s="5"/>
    </row>
    <row r="357" spans="1:8" x14ac:dyDescent="0.3">
      <c r="A357" s="9">
        <f>ROW()-ROW($A$14)</f>
        <v>343</v>
      </c>
      <c r="B357" s="9">
        <f>IF(A357&lt;=$B$8,$B$6+(A357-1)*($B$7-$B$6)/MAX(1,$B$8-1),NA())</f>
        <v>342</v>
      </c>
      <c r="C357" s="9">
        <f>RADIANS(B357)</f>
        <v>5.9690260418206069</v>
      </c>
      <c r="D357" s="9">
        <f>($B$3+$B$4)*COS(C357)-$B$4*COS((($B$3+$B$4)/$B$4)*C357)</f>
        <v>30.076780460729331</v>
      </c>
      <c r="E357" s="9">
        <f>($B$3+$B$4)*SIN(C357)-$B$4*SIN((($B$3+$B$4)/$B$4)*C357)</f>
        <v>-4.515227249772658</v>
      </c>
      <c r="F357" s="5"/>
      <c r="G357" s="5"/>
      <c r="H357" s="5"/>
    </row>
    <row r="358" spans="1:8" x14ac:dyDescent="0.3">
      <c r="A358" s="9">
        <f>ROW()-ROW($A$14)</f>
        <v>344</v>
      </c>
      <c r="B358" s="9">
        <f>IF(A358&lt;=$B$8,$B$6+(A358-1)*($B$7-$B$6)/MAX(1,$B$8-1),NA())</f>
        <v>343</v>
      </c>
      <c r="C358" s="9">
        <f>RADIANS(B358)</f>
        <v>5.98647933434055</v>
      </c>
      <c r="D358" s="9">
        <f>($B$3+$B$4)*COS(C358)-$B$4*COS((($B$3+$B$4)/$B$4)*C358)</f>
        <v>29.728701132979879</v>
      </c>
      <c r="E358" s="9">
        <f>($B$3+$B$4)*SIN(C358)-$B$4*SIN((($B$3+$B$4)/$B$4)*C358)</f>
        <v>-3.8804131380130915</v>
      </c>
      <c r="F358" s="5"/>
      <c r="G358" s="5"/>
      <c r="H358" s="5"/>
    </row>
    <row r="359" spans="1:8" x14ac:dyDescent="0.3">
      <c r="A359" s="9">
        <f>ROW()-ROW($A$14)</f>
        <v>345</v>
      </c>
      <c r="B359" s="9">
        <f>IF(A359&lt;=$B$8,$B$6+(A359-1)*($B$7-$B$6)/MAX(1,$B$8-1),NA())</f>
        <v>344</v>
      </c>
      <c r="C359" s="9">
        <f>RADIANS(B359)</f>
        <v>6.003932626860494</v>
      </c>
      <c r="D359" s="9">
        <f>($B$3+$B$4)*COS(C359)-$B$4*COS((($B$3+$B$4)/$B$4)*C359)</f>
        <v>29.360493194487816</v>
      </c>
      <c r="E359" s="9">
        <f>($B$3+$B$4)*SIN(C359)-$B$4*SIN((($B$3+$B$4)/$B$4)*C359)</f>
        <v>-3.2965111976686003</v>
      </c>
      <c r="F359" s="5"/>
      <c r="G359" s="5"/>
      <c r="H359" s="5"/>
    </row>
    <row r="360" spans="1:8" x14ac:dyDescent="0.3">
      <c r="A360" s="9">
        <f>ROW()-ROW($A$14)</f>
        <v>346</v>
      </c>
      <c r="B360" s="9">
        <f>IF(A360&lt;=$B$8,$B$6+(A360-1)*($B$7-$B$6)/MAX(1,$B$8-1),NA())</f>
        <v>345</v>
      </c>
      <c r="C360" s="9">
        <f>RADIANS(B360)</f>
        <v>6.0213859193804371</v>
      </c>
      <c r="D360" s="9">
        <f>($B$3+$B$4)*COS(C360)-$B$4*COS((($B$3+$B$4)/$B$4)*C360)</f>
        <v>28.977774788672029</v>
      </c>
      <c r="E360" s="9">
        <f>($B$3+$B$4)*SIN(C360)-$B$4*SIN((($B$3+$B$4)/$B$4)*C360)</f>
        <v>-2.7645713530756204</v>
      </c>
      <c r="F360" s="5"/>
      <c r="G360" s="5"/>
      <c r="H360" s="5"/>
    </row>
    <row r="361" spans="1:8" x14ac:dyDescent="0.3">
      <c r="A361" s="9">
        <f>ROW()-ROW($A$14)</f>
        <v>347</v>
      </c>
      <c r="B361" s="9">
        <f>IF(A361&lt;=$B$8,$B$6+(A361-1)*($B$7-$B$6)/MAX(1,$B$8-1),NA())</f>
        <v>346</v>
      </c>
      <c r="C361" s="9">
        <f>RADIANS(B361)</f>
        <v>6.0388392119003802</v>
      </c>
      <c r="D361" s="9">
        <f>($B$3+$B$4)*COS(C361)-$B$4*COS((($B$3+$B$4)/$B$4)*C361)</f>
        <v>28.586229471941643</v>
      </c>
      <c r="E361" s="9">
        <f>($B$3+$B$4)*SIN(C361)-$B$4*SIN((($B$3+$B$4)/$B$4)*C361)</f>
        <v>-2.2850473911486677</v>
      </c>
      <c r="F361" s="5"/>
      <c r="G361" s="5"/>
      <c r="H361" s="5"/>
    </row>
    <row r="362" spans="1:8" x14ac:dyDescent="0.3">
      <c r="A362" s="9">
        <f>ROW()-ROW($A$14)</f>
        <v>348</v>
      </c>
      <c r="B362" s="9">
        <f>IF(A362&lt;=$B$8,$B$6+(A362-1)*($B$7-$B$6)/MAX(1,$B$8-1),NA())</f>
        <v>347</v>
      </c>
      <c r="C362" s="9">
        <f>RADIANS(B362)</f>
        <v>6.0562925044203233</v>
      </c>
      <c r="D362" s="9">
        <f>($B$3+$B$4)*COS(C362)-$B$4*COS((($B$3+$B$4)/$B$4)*C362)</f>
        <v>28.191543489468266</v>
      </c>
      <c r="E362" s="9">
        <f>($B$3+$B$4)*SIN(C362)-$B$4*SIN((($B$3+$B$4)/$B$4)*C362)</f>
        <v>-1.8577936266469299</v>
      </c>
      <c r="F362" s="5"/>
      <c r="G362" s="5"/>
      <c r="H362" s="5"/>
    </row>
    <row r="363" spans="1:8" x14ac:dyDescent="0.3">
      <c r="A363" s="9">
        <f>ROW()-ROW($A$14)</f>
        <v>349</v>
      </c>
      <c r="B363" s="9">
        <f>IF(A363&lt;=$B$8,$B$6+(A363-1)*($B$7-$B$6)/MAX(1,$B$8-1),NA())</f>
        <v>348</v>
      </c>
      <c r="C363" s="9">
        <f>RADIANS(B363)</f>
        <v>6.0737457969402664</v>
      </c>
      <c r="D363" s="9">
        <f>($B$3+$B$4)*COS(C363)-$B$4*COS((($B$3+$B$4)/$B$4)*C363)</f>
        <v>27.799343050139438</v>
      </c>
      <c r="E363" s="9">
        <f>($B$3+$B$4)*SIN(C363)-$B$4*SIN((($B$3+$B$4)/$B$4)*C363)</f>
        <v>-1.4820681430570257</v>
      </c>
      <c r="F363" s="5"/>
      <c r="G363" s="5"/>
      <c r="H363" s="5"/>
    </row>
    <row r="364" spans="1:8" x14ac:dyDescent="0.3">
      <c r="A364" s="9">
        <f>ROW()-ROW($A$14)</f>
        <v>350</v>
      </c>
      <c r="B364" s="9">
        <f>IF(A364&lt;=$B$8,$B$6+(A364-1)*($B$7-$B$6)/MAX(1,$B$8-1),NA())</f>
        <v>349</v>
      </c>
      <c r="C364" s="9">
        <f>RADIANS(B364)</f>
        <v>6.0911990894602104</v>
      </c>
      <c r="D364" s="9">
        <f>($B$3+$B$4)*COS(C364)-$B$4*COS((($B$3+$B$4)/$B$4)*C364)</f>
        <v>27.415132288050923</v>
      </c>
      <c r="E364" s="9">
        <f>($B$3+$B$4)*SIN(C364)-$B$4*SIN((($B$3+$B$4)/$B$4)*C364)</f>
        <v>-1.1565425730833336</v>
      </c>
      <c r="F364" s="5"/>
      <c r="G364" s="5"/>
      <c r="H364" s="5"/>
    </row>
    <row r="365" spans="1:8" x14ac:dyDescent="0.3">
      <c r="A365" s="9">
        <f>ROW()-ROW($A$14)</f>
        <v>351</v>
      </c>
      <c r="B365" s="9">
        <f>IF(A365&lt;=$B$8,$B$6+(A365-1)*($B$7-$B$6)/MAX(1,$B$8-1),NA())</f>
        <v>350</v>
      </c>
      <c r="C365" s="9">
        <f>RADIANS(B365)</f>
        <v>6.1086523819801535</v>
      </c>
      <c r="D365" s="9">
        <f>($B$3+$B$4)*COS(C365)-$B$4*COS((($B$3+$B$4)/$B$4)*C365)</f>
        <v>27.044232590366242</v>
      </c>
      <c r="E365" s="9">
        <f>($B$3+$B$4)*SIN(C365)-$B$4*SIN((($B$3+$B$4)/$B$4)*C365)</f>
        <v>-0.87931831108571679</v>
      </c>
      <c r="F365" s="5"/>
      <c r="G365" s="5"/>
      <c r="H365" s="5"/>
    </row>
    <row r="366" spans="1:8" x14ac:dyDescent="0.3">
      <c r="A366" s="9">
        <f>ROW()-ROW($A$14)</f>
        <v>352</v>
      </c>
      <c r="B366" s="9">
        <f>IF(A366&lt;=$B$8,$B$6+(A366-1)*($B$7-$B$6)/MAX(1,$B$8-1),NA())</f>
        <v>351</v>
      </c>
      <c r="C366" s="9">
        <f>RADIANS(B366)</f>
        <v>6.1261056745000966</v>
      </c>
      <c r="D366" s="9">
        <f>($B$3+$B$4)*COS(C366)-$B$4*COS((($B$3+$B$4)/$B$4)*C366)</f>
        <v>26.691723956391762</v>
      </c>
      <c r="E366" s="9">
        <f>($B$3+$B$4)*SIN(C366)-$B$4*SIN((($B$3+$B$4)/$B$4)*C366)</f>
        <v>-0.64794897933219708</v>
      </c>
      <c r="F366" s="5"/>
      <c r="G366" s="5"/>
      <c r="H366" s="5"/>
    </row>
    <row r="367" spans="1:8" x14ac:dyDescent="0.3">
      <c r="A367" s="9">
        <f>ROW()-ROW($A$14)</f>
        <v>353</v>
      </c>
      <c r="B367" s="9">
        <f>IF(A367&lt;=$B$8,$B$6+(A367-1)*($B$7-$B$6)/MAX(1,$B$8-1),NA())</f>
        <v>352</v>
      </c>
      <c r="C367" s="9">
        <f>RADIANS(B367)</f>
        <v>6.1435589670200397</v>
      </c>
      <c r="D367" s="9">
        <f>($B$3+$B$4)*COS(C367)-$B$4*COS((($B$3+$B$4)/$B$4)*C367)</f>
        <v>26.362389030452839</v>
      </c>
      <c r="E367" s="9">
        <f>($B$3+$B$4)*SIN(C367)-$B$4*SIN((($B$3+$B$4)/$B$4)*C367)</f>
        <v>-0.4594689014149842</v>
      </c>
      <c r="F367" s="5"/>
      <c r="G367" s="5"/>
      <c r="H367" s="5"/>
    </row>
    <row r="368" spans="1:8" x14ac:dyDescent="0.3">
      <c r="A368" s="9">
        <f>ROW()-ROW($A$14)</f>
        <v>354</v>
      </c>
      <c r="B368" s="9">
        <f>IF(A368&lt;=$B$8,$B$6+(A368-1)*($B$7-$B$6)/MAX(1,$B$8-1),NA())</f>
        <v>353</v>
      </c>
      <c r="C368" s="9">
        <f>RADIANS(B368)</f>
        <v>6.1610122595399837</v>
      </c>
      <c r="D368" s="9">
        <f>($B$3+$B$4)*COS(C368)-$B$4*COS((($B$3+$B$4)/$B$4)*C368)</f>
        <v>26.060660421852685</v>
      </c>
      <c r="E368" s="9">
        <f>($B$3+$B$4)*SIN(C368)-$B$4*SIN((($B$3+$B$4)/$B$4)*C368)</f>
        <v>-0.31042727036013096</v>
      </c>
      <c r="F368" s="5"/>
      <c r="G368" s="5"/>
      <c r="H368" s="5"/>
    </row>
    <row r="369" spans="1:8" x14ac:dyDescent="0.3">
      <c r="A369" s="9">
        <f>ROW()-ROW($A$14)</f>
        <v>355</v>
      </c>
      <c r="B369" s="9">
        <f>IF(A369&lt;=$B$8,$B$6+(A369-1)*($B$7-$B$6)/MAX(1,$B$8-1),NA())</f>
        <v>354</v>
      </c>
      <c r="C369" s="9">
        <f>RADIANS(B369)</f>
        <v>6.1784655520599268</v>
      </c>
      <c r="D369" s="9">
        <f>($B$3+$B$4)*COS(C369)-$B$4*COS((($B$3+$B$4)/$B$4)*C369)</f>
        <v>25.790571889173457</v>
      </c>
      <c r="E369" s="9">
        <f>($B$3+$B$4)*SIN(C369)-$B$4*SIN((($B$3+$B$4)/$B$4)*C369)</f>
        <v>-0.19692763656724521</v>
      </c>
      <c r="F369" s="5"/>
      <c r="G369" s="5"/>
      <c r="H369" s="5"/>
    </row>
    <row r="370" spans="1:8" x14ac:dyDescent="0.3">
      <c r="A370" s="9">
        <f>ROW()-ROW($A$14)</f>
        <v>356</v>
      </c>
      <c r="B370" s="9">
        <f>IF(A370&lt;=$B$8,$B$6+(A370-1)*($B$7-$B$6)/MAX(1,$B$8-1),NA())</f>
        <v>355</v>
      </c>
      <c r="C370" s="9">
        <f>RADIANS(B370)</f>
        <v>6.1959188445798699</v>
      </c>
      <c r="D370" s="9">
        <f>($B$3+$B$4)*COS(C370)-$B$4*COS((($B$3+$B$4)/$B$4)*C370)</f>
        <v>25.555713923830183</v>
      </c>
      <c r="E370" s="9">
        <f>($B$3+$B$4)*SIN(C370)-$B$4*SIN((($B$3+$B$4)/$B$4)*C370)</f>
        <v>-0.11467228242973082</v>
      </c>
      <c r="F370" s="5"/>
      <c r="G370" s="5"/>
      <c r="H370" s="5"/>
    </row>
    <row r="371" spans="1:8" x14ac:dyDescent="0.3">
      <c r="A371" s="9">
        <f>ROW()-ROW($A$14)</f>
        <v>357</v>
      </c>
      <c r="B371" s="9">
        <f>IF(A371&lt;=$B$8,$B$6+(A371-1)*($B$7-$B$6)/MAX(1,$B$8-1),NA())</f>
        <v>356</v>
      </c>
      <c r="C371" s="9">
        <f>RADIANS(B371)</f>
        <v>6.213372137099813</v>
      </c>
      <c r="D371" s="9">
        <f>($B$3+$B$4)*COS(C371)-$B$4*COS((($B$3+$B$4)/$B$4)*C371)</f>
        <v>25.359194219581731</v>
      </c>
      <c r="E371" s="9">
        <f>($B$3+$B$4)*SIN(C371)-$B$4*SIN((($B$3+$B$4)/$B$4)*C371)</f>
        <v>-5.9010996944750538E-2</v>
      </c>
      <c r="F371" s="5"/>
      <c r="G371" s="5"/>
      <c r="H371" s="5"/>
    </row>
    <row r="372" spans="1:8" x14ac:dyDescent="0.3">
      <c r="A372" s="9">
        <f>ROW()-ROW($A$14)</f>
        <v>358</v>
      </c>
      <c r="B372" s="9">
        <f>IF(A372&lt;=$B$8,$B$6+(A372-1)*($B$7-$B$6)/MAX(1,$B$8-1),NA())</f>
        <v>357</v>
      </c>
      <c r="C372" s="9">
        <f>RADIANS(B372)</f>
        <v>6.2308254296197561</v>
      </c>
      <c r="D372" s="9">
        <f>($B$3+$B$4)*COS(C372)-$B$4*COS((($B$3+$B$4)/$B$4)*C372)</f>
        <v>25.20360346116145</v>
      </c>
      <c r="E372" s="9">
        <f>($B$3+$B$4)*SIN(C372)-$B$4*SIN((($B$3+$B$4)/$B$4)*C372)</f>
        <v>-2.4993715413578421E-2</v>
      </c>
      <c r="F372" s="5"/>
      <c r="G372" s="5"/>
      <c r="H372" s="5"/>
    </row>
    <row r="373" spans="1:8" x14ac:dyDescent="0.3">
      <c r="A373" s="9">
        <f>ROW()-ROW($A$14)</f>
        <v>359</v>
      </c>
      <c r="B373" s="9">
        <f>IF(A373&lt;=$B$8,$B$6+(A373-1)*($B$7-$B$6)/MAX(1,$B$8-1),NA())</f>
        <v>358</v>
      </c>
      <c r="C373" s="9">
        <f>RADIANS(B373)</f>
        <v>6.2482787221397</v>
      </c>
      <c r="D373" s="9">
        <f>($B$3+$B$4)*COS(C373)-$B$4*COS((($B$3+$B$4)/$B$4)*C373)</f>
        <v>25.09098680690385</v>
      </c>
      <c r="E373" s="9">
        <f>($B$3+$B$4)*SIN(C373)-$B$4*SIN((($B$3+$B$4)/$B$4)*C373)</f>
        <v>-7.426446986215085E-3</v>
      </c>
      <c r="F373" s="5"/>
      <c r="G373" s="5"/>
      <c r="H373" s="5"/>
    </row>
    <row r="374" spans="1:8" x14ac:dyDescent="0.3">
      <c r="A374" s="9">
        <f>ROW()-ROW($A$14)</f>
        <v>360</v>
      </c>
      <c r="B374" s="9">
        <f>IF(A374&lt;=$B$8,$B$6+(A374-1)*($B$7-$B$6)/MAX(1,$B$8-1),NA())</f>
        <v>359</v>
      </c>
      <c r="C374" s="9">
        <f>RADIANS(B374)</f>
        <v>6.2657320146596431</v>
      </c>
      <c r="D374" s="9">
        <f>($B$3+$B$4)*COS(C374)-$B$4*COS((($B$3+$B$4)/$B$4)*C374)</f>
        <v>25.02282137785037</v>
      </c>
      <c r="E374" s="9">
        <f>($B$3+$B$4)*SIN(C374)-$B$4*SIN((($B$3+$B$4)/$B$4)*C374)</f>
        <v>-9.2987678022915521E-4</v>
      </c>
      <c r="F374" s="5"/>
      <c r="G374" s="5"/>
      <c r="H374" s="5"/>
    </row>
    <row r="375" spans="1:8" x14ac:dyDescent="0.3">
      <c r="A375" s="9">
        <f>ROW()-ROW($A$14)</f>
        <v>361</v>
      </c>
      <c r="B375" s="9">
        <f>IF(A375&lt;=$B$8,$B$6+(A375-1)*($B$7-$B$6)/MAX(1,$B$8-1),NA())</f>
        <v>360</v>
      </c>
      <c r="C375" s="9">
        <f>RADIANS(B375)</f>
        <v>6.2831853071795862</v>
      </c>
      <c r="D375" s="9">
        <f>($B$3+$B$4)*COS(C375)-$B$4*COS((($B$3+$B$4)/$B$4)*C375)</f>
        <v>25</v>
      </c>
      <c r="E375" s="9">
        <f>($B$3+$B$4)*SIN(C375)-$B$4*SIN((($B$3+$B$4)/$B$4)*C375)</f>
        <v>0</v>
      </c>
      <c r="F375" s="5"/>
      <c r="G375" s="5"/>
      <c r="H375" s="5"/>
    </row>
    <row r="376" spans="1:8" x14ac:dyDescent="0.3">
      <c r="A376" s="9">
        <f>ROW()-ROW($A$14)</f>
        <v>362</v>
      </c>
      <c r="B376" s="9" t="e">
        <f>IF(A376&lt;=$B$8,$B$6+(A376-1)*($B$7-$B$6)/MAX(1,$B$8-1),NA())</f>
        <v>#N/A</v>
      </c>
      <c r="C376" s="9" t="e">
        <f>RADIANS(B376)</f>
        <v>#N/A</v>
      </c>
      <c r="D376" s="9" t="e">
        <f>($B$3+$B$4)*COS(C376)-$B$4*COS((($B$3+$B$4)/$B$4)*C376)</f>
        <v>#N/A</v>
      </c>
      <c r="E376" s="9" t="e">
        <f>($B$3+$B$4)*SIN(C376)-$B$4*SIN((($B$3+$B$4)/$B$4)*C376)</f>
        <v>#N/A</v>
      </c>
      <c r="F376" s="5"/>
      <c r="G376" s="5"/>
      <c r="H376" s="5"/>
    </row>
    <row r="377" spans="1:8" x14ac:dyDescent="0.3">
      <c r="A377" s="9">
        <f>ROW()-ROW($A$14)</f>
        <v>363</v>
      </c>
      <c r="B377" s="9" t="e">
        <f>IF(A377&lt;=$B$8,$B$6+(A377-1)*($B$7-$B$6)/MAX(1,$B$8-1),NA())</f>
        <v>#N/A</v>
      </c>
      <c r="C377" s="9" t="e">
        <f>RADIANS(B377)</f>
        <v>#N/A</v>
      </c>
      <c r="D377" s="9" t="e">
        <f>($B$3+$B$4)*COS(C377)-$B$4*COS((($B$3+$B$4)/$B$4)*C377)</f>
        <v>#N/A</v>
      </c>
      <c r="E377" s="9" t="e">
        <f>($B$3+$B$4)*SIN(C377)-$B$4*SIN((($B$3+$B$4)/$B$4)*C377)</f>
        <v>#N/A</v>
      </c>
      <c r="F377" s="5"/>
      <c r="G377" s="5"/>
      <c r="H377" s="5"/>
    </row>
    <row r="378" spans="1:8" x14ac:dyDescent="0.3">
      <c r="A378" s="9">
        <f>ROW()-ROW($A$14)</f>
        <v>364</v>
      </c>
      <c r="B378" s="9" t="e">
        <f>IF(A378&lt;=$B$8,$B$6+(A378-1)*($B$7-$B$6)/MAX(1,$B$8-1),NA())</f>
        <v>#N/A</v>
      </c>
      <c r="C378" s="9" t="e">
        <f>RADIANS(B378)</f>
        <v>#N/A</v>
      </c>
      <c r="D378" s="9" t="e">
        <f>($B$3+$B$4)*COS(C378)-$B$4*COS((($B$3+$B$4)/$B$4)*C378)</f>
        <v>#N/A</v>
      </c>
      <c r="E378" s="9" t="e">
        <f>($B$3+$B$4)*SIN(C378)-$B$4*SIN((($B$3+$B$4)/$B$4)*C378)</f>
        <v>#N/A</v>
      </c>
      <c r="F378" s="5"/>
      <c r="G378" s="5"/>
      <c r="H378" s="5"/>
    </row>
    <row r="379" spans="1:8" x14ac:dyDescent="0.3">
      <c r="A379" s="9">
        <f>ROW()-ROW($A$14)</f>
        <v>365</v>
      </c>
      <c r="B379" s="9" t="e">
        <f>IF(A379&lt;=$B$8,$B$6+(A379-1)*($B$7-$B$6)/MAX(1,$B$8-1),NA())</f>
        <v>#N/A</v>
      </c>
      <c r="C379" s="9" t="e">
        <f>RADIANS(B379)</f>
        <v>#N/A</v>
      </c>
      <c r="D379" s="9" t="e">
        <f>($B$3+$B$4)*COS(C379)-$B$4*COS((($B$3+$B$4)/$B$4)*C379)</f>
        <v>#N/A</v>
      </c>
      <c r="E379" s="9" t="e">
        <f>($B$3+$B$4)*SIN(C379)-$B$4*SIN((($B$3+$B$4)/$B$4)*C379)</f>
        <v>#N/A</v>
      </c>
      <c r="F379" s="5"/>
      <c r="G379" s="5"/>
      <c r="H379" s="5"/>
    </row>
    <row r="380" spans="1:8" x14ac:dyDescent="0.3">
      <c r="A380" s="9">
        <f>ROW()-ROW($A$14)</f>
        <v>366</v>
      </c>
      <c r="B380" s="9" t="e">
        <f>IF(A380&lt;=$B$8,$B$6+(A380-1)*($B$7-$B$6)/MAX(1,$B$8-1),NA())</f>
        <v>#N/A</v>
      </c>
      <c r="C380" s="9" t="e">
        <f>RADIANS(B380)</f>
        <v>#N/A</v>
      </c>
      <c r="D380" s="9" t="e">
        <f>($B$3+$B$4)*COS(C380)-$B$4*COS((($B$3+$B$4)/$B$4)*C380)</f>
        <v>#N/A</v>
      </c>
      <c r="E380" s="9" t="e">
        <f>($B$3+$B$4)*SIN(C380)-$B$4*SIN((($B$3+$B$4)/$B$4)*C380)</f>
        <v>#N/A</v>
      </c>
      <c r="F380" s="5"/>
      <c r="G380" s="5"/>
      <c r="H380" s="5"/>
    </row>
    <row r="381" spans="1:8" x14ac:dyDescent="0.3">
      <c r="A381" s="9">
        <f>ROW()-ROW($A$14)</f>
        <v>367</v>
      </c>
      <c r="B381" s="9" t="e">
        <f>IF(A381&lt;=$B$8,$B$6+(A381-1)*($B$7-$B$6)/MAX(1,$B$8-1),NA())</f>
        <v>#N/A</v>
      </c>
      <c r="C381" s="9" t="e">
        <f>RADIANS(B381)</f>
        <v>#N/A</v>
      </c>
      <c r="D381" s="9" t="e">
        <f>($B$3+$B$4)*COS(C381)-$B$4*COS((($B$3+$B$4)/$B$4)*C381)</f>
        <v>#N/A</v>
      </c>
      <c r="E381" s="9" t="e">
        <f>($B$3+$B$4)*SIN(C381)-$B$4*SIN((($B$3+$B$4)/$B$4)*C381)</f>
        <v>#N/A</v>
      </c>
      <c r="F381" s="5"/>
      <c r="G381" s="5"/>
      <c r="H381" s="5"/>
    </row>
    <row r="382" spans="1:8" x14ac:dyDescent="0.3">
      <c r="A382" s="9">
        <f>ROW()-ROW($A$14)</f>
        <v>368</v>
      </c>
      <c r="B382" s="9" t="e">
        <f>IF(A382&lt;=$B$8,$B$6+(A382-1)*($B$7-$B$6)/MAX(1,$B$8-1),NA())</f>
        <v>#N/A</v>
      </c>
      <c r="C382" s="9" t="e">
        <f>RADIANS(B382)</f>
        <v>#N/A</v>
      </c>
      <c r="D382" s="9" t="e">
        <f>($B$3+$B$4)*COS(C382)-$B$4*COS((($B$3+$B$4)/$B$4)*C382)</f>
        <v>#N/A</v>
      </c>
      <c r="E382" s="9" t="e">
        <f>($B$3+$B$4)*SIN(C382)-$B$4*SIN((($B$3+$B$4)/$B$4)*C382)</f>
        <v>#N/A</v>
      </c>
      <c r="F382" s="5"/>
      <c r="G382" s="5"/>
      <c r="H382" s="5"/>
    </row>
    <row r="383" spans="1:8" x14ac:dyDescent="0.3">
      <c r="A383" s="9">
        <f>ROW()-ROW($A$14)</f>
        <v>369</v>
      </c>
      <c r="B383" s="9" t="e">
        <f>IF(A383&lt;=$B$8,$B$6+(A383-1)*($B$7-$B$6)/MAX(1,$B$8-1),NA())</f>
        <v>#N/A</v>
      </c>
      <c r="C383" s="9" t="e">
        <f>RADIANS(B383)</f>
        <v>#N/A</v>
      </c>
      <c r="D383" s="9" t="e">
        <f>($B$3+$B$4)*COS(C383)-$B$4*COS((($B$3+$B$4)/$B$4)*C383)</f>
        <v>#N/A</v>
      </c>
      <c r="E383" s="9" t="e">
        <f>($B$3+$B$4)*SIN(C383)-$B$4*SIN((($B$3+$B$4)/$B$4)*C383)</f>
        <v>#N/A</v>
      </c>
      <c r="F383" s="5"/>
      <c r="G383" s="5"/>
      <c r="H383" s="5"/>
    </row>
    <row r="384" spans="1:8" x14ac:dyDescent="0.3">
      <c r="A384" s="9">
        <f>ROW()-ROW($A$14)</f>
        <v>370</v>
      </c>
      <c r="B384" s="9" t="e">
        <f>IF(A384&lt;=$B$8,$B$6+(A384-1)*($B$7-$B$6)/MAX(1,$B$8-1),NA())</f>
        <v>#N/A</v>
      </c>
      <c r="C384" s="9" t="e">
        <f>RADIANS(B384)</f>
        <v>#N/A</v>
      </c>
      <c r="D384" s="9" t="e">
        <f>($B$3+$B$4)*COS(C384)-$B$4*COS((($B$3+$B$4)/$B$4)*C384)</f>
        <v>#N/A</v>
      </c>
      <c r="E384" s="9" t="e">
        <f>($B$3+$B$4)*SIN(C384)-$B$4*SIN((($B$3+$B$4)/$B$4)*C384)</f>
        <v>#N/A</v>
      </c>
      <c r="F384" s="5"/>
      <c r="G384" s="5"/>
      <c r="H384" s="5"/>
    </row>
    <row r="385" spans="1:8" x14ac:dyDescent="0.3">
      <c r="A385" s="9">
        <f>ROW()-ROW($A$14)</f>
        <v>371</v>
      </c>
      <c r="B385" s="9" t="e">
        <f>IF(A385&lt;=$B$8,$B$6+(A385-1)*($B$7-$B$6)/MAX(1,$B$8-1),NA())</f>
        <v>#N/A</v>
      </c>
      <c r="C385" s="9" t="e">
        <f>RADIANS(B385)</f>
        <v>#N/A</v>
      </c>
      <c r="D385" s="9" t="e">
        <f>($B$3+$B$4)*COS(C385)-$B$4*COS((($B$3+$B$4)/$B$4)*C385)</f>
        <v>#N/A</v>
      </c>
      <c r="E385" s="9" t="e">
        <f>($B$3+$B$4)*SIN(C385)-$B$4*SIN((($B$3+$B$4)/$B$4)*C385)</f>
        <v>#N/A</v>
      </c>
      <c r="F385" s="5"/>
      <c r="G385" s="5"/>
      <c r="H385" s="5"/>
    </row>
    <row r="386" spans="1:8" x14ac:dyDescent="0.3">
      <c r="A386" s="9">
        <f>ROW()-ROW($A$14)</f>
        <v>372</v>
      </c>
      <c r="B386" s="9" t="e">
        <f>IF(A386&lt;=$B$8,$B$6+(A386-1)*($B$7-$B$6)/MAX(1,$B$8-1),NA())</f>
        <v>#N/A</v>
      </c>
      <c r="C386" s="9" t="e">
        <f>RADIANS(B386)</f>
        <v>#N/A</v>
      </c>
      <c r="D386" s="9" t="e">
        <f>($B$3+$B$4)*COS(C386)-$B$4*COS((($B$3+$B$4)/$B$4)*C386)</f>
        <v>#N/A</v>
      </c>
      <c r="E386" s="9" t="e">
        <f>($B$3+$B$4)*SIN(C386)-$B$4*SIN((($B$3+$B$4)/$B$4)*C386)</f>
        <v>#N/A</v>
      </c>
      <c r="F386" s="5"/>
      <c r="G386" s="5"/>
      <c r="H386" s="5"/>
    </row>
    <row r="387" spans="1:8" x14ac:dyDescent="0.3">
      <c r="A387" s="9">
        <f>ROW()-ROW($A$14)</f>
        <v>373</v>
      </c>
      <c r="B387" s="9" t="e">
        <f>IF(A387&lt;=$B$8,$B$6+(A387-1)*($B$7-$B$6)/MAX(1,$B$8-1),NA())</f>
        <v>#N/A</v>
      </c>
      <c r="C387" s="9" t="e">
        <f>RADIANS(B387)</f>
        <v>#N/A</v>
      </c>
      <c r="D387" s="9" t="e">
        <f>($B$3+$B$4)*COS(C387)-$B$4*COS((($B$3+$B$4)/$B$4)*C387)</f>
        <v>#N/A</v>
      </c>
      <c r="E387" s="9" t="e">
        <f>($B$3+$B$4)*SIN(C387)-$B$4*SIN((($B$3+$B$4)/$B$4)*C387)</f>
        <v>#N/A</v>
      </c>
      <c r="F387" s="5"/>
      <c r="G387" s="5"/>
      <c r="H387" s="5"/>
    </row>
    <row r="388" spans="1:8" x14ac:dyDescent="0.3">
      <c r="A388" s="9">
        <f>ROW()-ROW($A$14)</f>
        <v>374</v>
      </c>
      <c r="B388" s="9" t="e">
        <f>IF(A388&lt;=$B$8,$B$6+(A388-1)*($B$7-$B$6)/MAX(1,$B$8-1),NA())</f>
        <v>#N/A</v>
      </c>
      <c r="C388" s="9" t="e">
        <f>RADIANS(B388)</f>
        <v>#N/A</v>
      </c>
      <c r="D388" s="9" t="e">
        <f>($B$3+$B$4)*COS(C388)-$B$4*COS((($B$3+$B$4)/$B$4)*C388)</f>
        <v>#N/A</v>
      </c>
      <c r="E388" s="9" t="e">
        <f>($B$3+$B$4)*SIN(C388)-$B$4*SIN((($B$3+$B$4)/$B$4)*C388)</f>
        <v>#N/A</v>
      </c>
      <c r="F388" s="5"/>
      <c r="G388" s="5"/>
      <c r="H388" s="5"/>
    </row>
    <row r="389" spans="1:8" x14ac:dyDescent="0.3">
      <c r="A389" s="9">
        <f>ROW()-ROW($A$14)</f>
        <v>375</v>
      </c>
      <c r="B389" s="9" t="e">
        <f>IF(A389&lt;=$B$8,$B$6+(A389-1)*($B$7-$B$6)/MAX(1,$B$8-1),NA())</f>
        <v>#N/A</v>
      </c>
      <c r="C389" s="9" t="e">
        <f>RADIANS(B389)</f>
        <v>#N/A</v>
      </c>
      <c r="D389" s="9" t="e">
        <f>($B$3+$B$4)*COS(C389)-$B$4*COS((($B$3+$B$4)/$B$4)*C389)</f>
        <v>#N/A</v>
      </c>
      <c r="E389" s="9" t="e">
        <f>($B$3+$B$4)*SIN(C389)-$B$4*SIN((($B$3+$B$4)/$B$4)*C389)</f>
        <v>#N/A</v>
      </c>
      <c r="F389" s="5"/>
      <c r="G389" s="5"/>
      <c r="H389" s="5"/>
    </row>
    <row r="390" spans="1:8" x14ac:dyDescent="0.3">
      <c r="A390" s="9">
        <f>ROW()-ROW($A$14)</f>
        <v>376</v>
      </c>
      <c r="B390" s="9" t="e">
        <f>IF(A390&lt;=$B$8,$B$6+(A390-1)*($B$7-$B$6)/MAX(1,$B$8-1),NA())</f>
        <v>#N/A</v>
      </c>
      <c r="C390" s="9" t="e">
        <f>RADIANS(B390)</f>
        <v>#N/A</v>
      </c>
      <c r="D390" s="9" t="e">
        <f>($B$3+$B$4)*COS(C390)-$B$4*COS((($B$3+$B$4)/$B$4)*C390)</f>
        <v>#N/A</v>
      </c>
      <c r="E390" s="9" t="e">
        <f>($B$3+$B$4)*SIN(C390)-$B$4*SIN((($B$3+$B$4)/$B$4)*C390)</f>
        <v>#N/A</v>
      </c>
      <c r="F390" s="5"/>
      <c r="G390" s="5"/>
      <c r="H390" s="5"/>
    </row>
    <row r="391" spans="1:8" x14ac:dyDescent="0.3">
      <c r="A391" s="9">
        <f>ROW()-ROW($A$14)</f>
        <v>377</v>
      </c>
      <c r="B391" s="9" t="e">
        <f>IF(A391&lt;=$B$8,$B$6+(A391-1)*($B$7-$B$6)/MAX(1,$B$8-1),NA())</f>
        <v>#N/A</v>
      </c>
      <c r="C391" s="9" t="e">
        <f>RADIANS(B391)</f>
        <v>#N/A</v>
      </c>
      <c r="D391" s="9" t="e">
        <f>($B$3+$B$4)*COS(C391)-$B$4*COS((($B$3+$B$4)/$B$4)*C391)</f>
        <v>#N/A</v>
      </c>
      <c r="E391" s="9" t="e">
        <f>($B$3+$B$4)*SIN(C391)-$B$4*SIN((($B$3+$B$4)/$B$4)*C391)</f>
        <v>#N/A</v>
      </c>
      <c r="F391" s="5"/>
      <c r="G391" s="5"/>
      <c r="H391" s="5"/>
    </row>
    <row r="392" spans="1:8" x14ac:dyDescent="0.3">
      <c r="A392" s="9">
        <f>ROW()-ROW($A$14)</f>
        <v>378</v>
      </c>
      <c r="B392" s="9" t="e">
        <f>IF(A392&lt;=$B$8,$B$6+(A392-1)*($B$7-$B$6)/MAX(1,$B$8-1),NA())</f>
        <v>#N/A</v>
      </c>
      <c r="C392" s="9" t="e">
        <f>RADIANS(B392)</f>
        <v>#N/A</v>
      </c>
      <c r="D392" s="9" t="e">
        <f>($B$3+$B$4)*COS(C392)-$B$4*COS((($B$3+$B$4)/$B$4)*C392)</f>
        <v>#N/A</v>
      </c>
      <c r="E392" s="9" t="e">
        <f>($B$3+$B$4)*SIN(C392)-$B$4*SIN((($B$3+$B$4)/$B$4)*C392)</f>
        <v>#N/A</v>
      </c>
      <c r="F392" s="5"/>
      <c r="G392" s="5"/>
      <c r="H392" s="5"/>
    </row>
    <row r="393" spans="1:8" x14ac:dyDescent="0.3">
      <c r="A393" s="9">
        <f>ROW()-ROW($A$14)</f>
        <v>379</v>
      </c>
      <c r="B393" s="9" t="e">
        <f>IF(A393&lt;=$B$8,$B$6+(A393-1)*($B$7-$B$6)/MAX(1,$B$8-1),NA())</f>
        <v>#N/A</v>
      </c>
      <c r="C393" s="9" t="e">
        <f>RADIANS(B393)</f>
        <v>#N/A</v>
      </c>
      <c r="D393" s="9" t="e">
        <f>($B$3+$B$4)*COS(C393)-$B$4*COS((($B$3+$B$4)/$B$4)*C393)</f>
        <v>#N/A</v>
      </c>
      <c r="E393" s="9" t="e">
        <f>($B$3+$B$4)*SIN(C393)-$B$4*SIN((($B$3+$B$4)/$B$4)*C393)</f>
        <v>#N/A</v>
      </c>
      <c r="F393" s="5"/>
      <c r="G393" s="5"/>
      <c r="H393" s="5"/>
    </row>
    <row r="394" spans="1:8" x14ac:dyDescent="0.3">
      <c r="A394" s="9">
        <f>ROW()-ROW($A$14)</f>
        <v>380</v>
      </c>
      <c r="B394" s="9" t="e">
        <f>IF(A394&lt;=$B$8,$B$6+(A394-1)*($B$7-$B$6)/MAX(1,$B$8-1),NA())</f>
        <v>#N/A</v>
      </c>
      <c r="C394" s="9" t="e">
        <f>RADIANS(B394)</f>
        <v>#N/A</v>
      </c>
      <c r="D394" s="9" t="e">
        <f>($B$3+$B$4)*COS(C394)-$B$4*COS((($B$3+$B$4)/$B$4)*C394)</f>
        <v>#N/A</v>
      </c>
      <c r="E394" s="9" t="e">
        <f>($B$3+$B$4)*SIN(C394)-$B$4*SIN((($B$3+$B$4)/$B$4)*C394)</f>
        <v>#N/A</v>
      </c>
      <c r="F394" s="5"/>
      <c r="G394" s="5"/>
      <c r="H394" s="5"/>
    </row>
    <row r="395" spans="1:8" x14ac:dyDescent="0.3">
      <c r="A395" s="9">
        <f>ROW()-ROW($A$14)</f>
        <v>381</v>
      </c>
      <c r="B395" s="9" t="e">
        <f>IF(A395&lt;=$B$8,$B$6+(A395-1)*($B$7-$B$6)/MAX(1,$B$8-1),NA())</f>
        <v>#N/A</v>
      </c>
      <c r="C395" s="9" t="e">
        <f>RADIANS(B395)</f>
        <v>#N/A</v>
      </c>
      <c r="D395" s="9" t="e">
        <f>($B$3+$B$4)*COS(C395)-$B$4*COS((($B$3+$B$4)/$B$4)*C395)</f>
        <v>#N/A</v>
      </c>
      <c r="E395" s="9" t="e">
        <f>($B$3+$B$4)*SIN(C395)-$B$4*SIN((($B$3+$B$4)/$B$4)*C395)</f>
        <v>#N/A</v>
      </c>
      <c r="F395" s="5"/>
      <c r="G395" s="5"/>
      <c r="H395" s="5"/>
    </row>
    <row r="396" spans="1:8" x14ac:dyDescent="0.3">
      <c r="A396" s="9">
        <f>ROW()-ROW($A$14)</f>
        <v>382</v>
      </c>
      <c r="B396" s="9" t="e">
        <f>IF(A396&lt;=$B$8,$B$6+(A396-1)*($B$7-$B$6)/MAX(1,$B$8-1),NA())</f>
        <v>#N/A</v>
      </c>
      <c r="C396" s="9" t="e">
        <f>RADIANS(B396)</f>
        <v>#N/A</v>
      </c>
      <c r="D396" s="9" t="e">
        <f>($B$3+$B$4)*COS(C396)-$B$4*COS((($B$3+$B$4)/$B$4)*C396)</f>
        <v>#N/A</v>
      </c>
      <c r="E396" s="9" t="e">
        <f>($B$3+$B$4)*SIN(C396)-$B$4*SIN((($B$3+$B$4)/$B$4)*C396)</f>
        <v>#N/A</v>
      </c>
      <c r="F396" s="5"/>
      <c r="G396" s="5"/>
      <c r="H396" s="5"/>
    </row>
    <row r="397" spans="1:8" x14ac:dyDescent="0.3">
      <c r="A397" s="9">
        <f>ROW()-ROW($A$14)</f>
        <v>383</v>
      </c>
      <c r="B397" s="9" t="e">
        <f>IF(A397&lt;=$B$8,$B$6+(A397-1)*($B$7-$B$6)/MAX(1,$B$8-1),NA())</f>
        <v>#N/A</v>
      </c>
      <c r="C397" s="9" t="e">
        <f>RADIANS(B397)</f>
        <v>#N/A</v>
      </c>
      <c r="D397" s="9" t="e">
        <f>($B$3+$B$4)*COS(C397)-$B$4*COS((($B$3+$B$4)/$B$4)*C397)</f>
        <v>#N/A</v>
      </c>
      <c r="E397" s="9" t="e">
        <f>($B$3+$B$4)*SIN(C397)-$B$4*SIN((($B$3+$B$4)/$B$4)*C397)</f>
        <v>#N/A</v>
      </c>
      <c r="F397" s="5"/>
      <c r="G397" s="5"/>
      <c r="H397" s="5"/>
    </row>
    <row r="398" spans="1:8" x14ac:dyDescent="0.3">
      <c r="A398" s="9">
        <f>ROW()-ROW($A$14)</f>
        <v>384</v>
      </c>
      <c r="B398" s="9" t="e">
        <f>IF(A398&lt;=$B$8,$B$6+(A398-1)*($B$7-$B$6)/MAX(1,$B$8-1),NA())</f>
        <v>#N/A</v>
      </c>
      <c r="C398" s="9" t="e">
        <f>RADIANS(B398)</f>
        <v>#N/A</v>
      </c>
      <c r="D398" s="9" t="e">
        <f>($B$3+$B$4)*COS(C398)-$B$4*COS((($B$3+$B$4)/$B$4)*C398)</f>
        <v>#N/A</v>
      </c>
      <c r="E398" s="9" t="e">
        <f>($B$3+$B$4)*SIN(C398)-$B$4*SIN((($B$3+$B$4)/$B$4)*C398)</f>
        <v>#N/A</v>
      </c>
      <c r="F398" s="5"/>
      <c r="G398" s="5"/>
      <c r="H398" s="5"/>
    </row>
    <row r="399" spans="1:8" x14ac:dyDescent="0.3">
      <c r="A399" s="9">
        <f>ROW()-ROW($A$14)</f>
        <v>385</v>
      </c>
      <c r="B399" s="9" t="e">
        <f>IF(A399&lt;=$B$8,$B$6+(A399-1)*($B$7-$B$6)/MAX(1,$B$8-1),NA())</f>
        <v>#N/A</v>
      </c>
      <c r="C399" s="9" t="e">
        <f>RADIANS(B399)</f>
        <v>#N/A</v>
      </c>
      <c r="D399" s="9" t="e">
        <f>($B$3+$B$4)*COS(C399)-$B$4*COS((($B$3+$B$4)/$B$4)*C399)</f>
        <v>#N/A</v>
      </c>
      <c r="E399" s="9" t="e">
        <f>($B$3+$B$4)*SIN(C399)-$B$4*SIN((($B$3+$B$4)/$B$4)*C399)</f>
        <v>#N/A</v>
      </c>
      <c r="F399" s="5"/>
      <c r="G399" s="5"/>
      <c r="H399" s="5"/>
    </row>
    <row r="400" spans="1:8" x14ac:dyDescent="0.3">
      <c r="A400" s="9">
        <f>ROW()-ROW($A$14)</f>
        <v>386</v>
      </c>
      <c r="B400" s="9" t="e">
        <f>IF(A400&lt;=$B$8,$B$6+(A400-1)*($B$7-$B$6)/MAX(1,$B$8-1),NA())</f>
        <v>#N/A</v>
      </c>
      <c r="C400" s="9" t="e">
        <f>RADIANS(B400)</f>
        <v>#N/A</v>
      </c>
      <c r="D400" s="9" t="e">
        <f>($B$3+$B$4)*COS(C400)-$B$4*COS((($B$3+$B$4)/$B$4)*C400)</f>
        <v>#N/A</v>
      </c>
      <c r="E400" s="9" t="e">
        <f>($B$3+$B$4)*SIN(C400)-$B$4*SIN((($B$3+$B$4)/$B$4)*C400)</f>
        <v>#N/A</v>
      </c>
      <c r="F400" s="5"/>
      <c r="G400" s="5"/>
      <c r="H400" s="5"/>
    </row>
    <row r="401" spans="1:8" x14ac:dyDescent="0.3">
      <c r="A401" s="9">
        <f>ROW()-ROW($A$14)</f>
        <v>387</v>
      </c>
      <c r="B401" s="9" t="e">
        <f>IF(A401&lt;=$B$8,$B$6+(A401-1)*($B$7-$B$6)/MAX(1,$B$8-1),NA())</f>
        <v>#N/A</v>
      </c>
      <c r="C401" s="9" t="e">
        <f>RADIANS(B401)</f>
        <v>#N/A</v>
      </c>
      <c r="D401" s="9" t="e">
        <f>($B$3+$B$4)*COS(C401)-$B$4*COS((($B$3+$B$4)/$B$4)*C401)</f>
        <v>#N/A</v>
      </c>
      <c r="E401" s="9" t="e">
        <f>($B$3+$B$4)*SIN(C401)-$B$4*SIN((($B$3+$B$4)/$B$4)*C401)</f>
        <v>#N/A</v>
      </c>
      <c r="F401" s="5"/>
      <c r="G401" s="5"/>
      <c r="H401" s="5"/>
    </row>
    <row r="402" spans="1:8" x14ac:dyDescent="0.3">
      <c r="A402" s="9">
        <f>ROW()-ROW($A$14)</f>
        <v>388</v>
      </c>
      <c r="B402" s="9" t="e">
        <f>IF(A402&lt;=$B$8,$B$6+(A402-1)*($B$7-$B$6)/MAX(1,$B$8-1),NA())</f>
        <v>#N/A</v>
      </c>
      <c r="C402" s="9" t="e">
        <f>RADIANS(B402)</f>
        <v>#N/A</v>
      </c>
      <c r="D402" s="9" t="e">
        <f>($B$3+$B$4)*COS(C402)-$B$4*COS((($B$3+$B$4)/$B$4)*C402)</f>
        <v>#N/A</v>
      </c>
      <c r="E402" s="9" t="e">
        <f>($B$3+$B$4)*SIN(C402)-$B$4*SIN((($B$3+$B$4)/$B$4)*C402)</f>
        <v>#N/A</v>
      </c>
      <c r="F402" s="5"/>
      <c r="G402" s="5"/>
      <c r="H402" s="5"/>
    </row>
    <row r="403" spans="1:8" x14ac:dyDescent="0.3">
      <c r="A403" s="9">
        <f>ROW()-ROW($A$14)</f>
        <v>389</v>
      </c>
      <c r="B403" s="9" t="e">
        <f>IF(A403&lt;=$B$8,$B$6+(A403-1)*($B$7-$B$6)/MAX(1,$B$8-1),NA())</f>
        <v>#N/A</v>
      </c>
      <c r="C403" s="9" t="e">
        <f>RADIANS(B403)</f>
        <v>#N/A</v>
      </c>
      <c r="D403" s="9" t="e">
        <f>($B$3+$B$4)*COS(C403)-$B$4*COS((($B$3+$B$4)/$B$4)*C403)</f>
        <v>#N/A</v>
      </c>
      <c r="E403" s="9" t="e">
        <f>($B$3+$B$4)*SIN(C403)-$B$4*SIN((($B$3+$B$4)/$B$4)*C403)</f>
        <v>#N/A</v>
      </c>
      <c r="F403" s="5"/>
      <c r="G403" s="5"/>
      <c r="H403" s="5"/>
    </row>
    <row r="404" spans="1:8" x14ac:dyDescent="0.3">
      <c r="A404" s="9">
        <f>ROW()-ROW($A$14)</f>
        <v>390</v>
      </c>
      <c r="B404" s="9" t="e">
        <f>IF(A404&lt;=$B$8,$B$6+(A404-1)*($B$7-$B$6)/MAX(1,$B$8-1),NA())</f>
        <v>#N/A</v>
      </c>
      <c r="C404" s="9" t="e">
        <f>RADIANS(B404)</f>
        <v>#N/A</v>
      </c>
      <c r="D404" s="9" t="e">
        <f>($B$3+$B$4)*COS(C404)-$B$4*COS((($B$3+$B$4)/$B$4)*C404)</f>
        <v>#N/A</v>
      </c>
      <c r="E404" s="9" t="e">
        <f>($B$3+$B$4)*SIN(C404)-$B$4*SIN((($B$3+$B$4)/$B$4)*C404)</f>
        <v>#N/A</v>
      </c>
      <c r="F404" s="5"/>
      <c r="G404" s="5"/>
      <c r="H404" s="5"/>
    </row>
    <row r="405" spans="1:8" x14ac:dyDescent="0.3">
      <c r="A405" s="9">
        <f>ROW()-ROW($A$14)</f>
        <v>391</v>
      </c>
      <c r="B405" s="9" t="e">
        <f>IF(A405&lt;=$B$8,$B$6+(A405-1)*($B$7-$B$6)/MAX(1,$B$8-1),NA())</f>
        <v>#N/A</v>
      </c>
      <c r="C405" s="9" t="e">
        <f>RADIANS(B405)</f>
        <v>#N/A</v>
      </c>
      <c r="D405" s="9" t="e">
        <f>($B$3+$B$4)*COS(C405)-$B$4*COS((($B$3+$B$4)/$B$4)*C405)</f>
        <v>#N/A</v>
      </c>
      <c r="E405" s="9" t="e">
        <f>($B$3+$B$4)*SIN(C405)-$B$4*SIN((($B$3+$B$4)/$B$4)*C405)</f>
        <v>#N/A</v>
      </c>
      <c r="F405" s="5"/>
      <c r="G405" s="5"/>
      <c r="H405" s="5"/>
    </row>
    <row r="406" spans="1:8" x14ac:dyDescent="0.3">
      <c r="A406" s="9">
        <f>ROW()-ROW($A$14)</f>
        <v>392</v>
      </c>
      <c r="B406" s="9" t="e">
        <f>IF(A406&lt;=$B$8,$B$6+(A406-1)*($B$7-$B$6)/MAX(1,$B$8-1),NA())</f>
        <v>#N/A</v>
      </c>
      <c r="C406" s="9" t="e">
        <f>RADIANS(B406)</f>
        <v>#N/A</v>
      </c>
      <c r="D406" s="9" t="e">
        <f>($B$3+$B$4)*COS(C406)-$B$4*COS((($B$3+$B$4)/$B$4)*C406)</f>
        <v>#N/A</v>
      </c>
      <c r="E406" s="9" t="e">
        <f>($B$3+$B$4)*SIN(C406)-$B$4*SIN((($B$3+$B$4)/$B$4)*C406)</f>
        <v>#N/A</v>
      </c>
      <c r="F406" s="5"/>
      <c r="G406" s="5"/>
      <c r="H406" s="5"/>
    </row>
    <row r="407" spans="1:8" x14ac:dyDescent="0.3">
      <c r="A407" s="9">
        <f>ROW()-ROW($A$14)</f>
        <v>393</v>
      </c>
      <c r="B407" s="9" t="e">
        <f>IF(A407&lt;=$B$8,$B$6+(A407-1)*($B$7-$B$6)/MAX(1,$B$8-1),NA())</f>
        <v>#N/A</v>
      </c>
      <c r="C407" s="9" t="e">
        <f>RADIANS(B407)</f>
        <v>#N/A</v>
      </c>
      <c r="D407" s="9" t="e">
        <f>($B$3+$B$4)*COS(C407)-$B$4*COS((($B$3+$B$4)/$B$4)*C407)</f>
        <v>#N/A</v>
      </c>
      <c r="E407" s="9" t="e">
        <f>($B$3+$B$4)*SIN(C407)-$B$4*SIN((($B$3+$B$4)/$B$4)*C407)</f>
        <v>#N/A</v>
      </c>
      <c r="F407" s="5"/>
      <c r="G407" s="5"/>
      <c r="H407" s="5"/>
    </row>
    <row r="408" spans="1:8" x14ac:dyDescent="0.3">
      <c r="A408" s="9">
        <f>ROW()-ROW($A$14)</f>
        <v>394</v>
      </c>
      <c r="B408" s="9" t="e">
        <f>IF(A408&lt;=$B$8,$B$6+(A408-1)*($B$7-$B$6)/MAX(1,$B$8-1),NA())</f>
        <v>#N/A</v>
      </c>
      <c r="C408" s="9" t="e">
        <f>RADIANS(B408)</f>
        <v>#N/A</v>
      </c>
      <c r="D408" s="9" t="e">
        <f>($B$3+$B$4)*COS(C408)-$B$4*COS((($B$3+$B$4)/$B$4)*C408)</f>
        <v>#N/A</v>
      </c>
      <c r="E408" s="9" t="e">
        <f>($B$3+$B$4)*SIN(C408)-$B$4*SIN((($B$3+$B$4)/$B$4)*C408)</f>
        <v>#N/A</v>
      </c>
      <c r="F408" s="5"/>
      <c r="G408" s="5"/>
      <c r="H408" s="5"/>
    </row>
    <row r="409" spans="1:8" x14ac:dyDescent="0.3">
      <c r="A409" s="9">
        <f>ROW()-ROW($A$14)</f>
        <v>395</v>
      </c>
      <c r="B409" s="9" t="e">
        <f>IF(A409&lt;=$B$8,$B$6+(A409-1)*($B$7-$B$6)/MAX(1,$B$8-1),NA())</f>
        <v>#N/A</v>
      </c>
      <c r="C409" s="9" t="e">
        <f>RADIANS(B409)</f>
        <v>#N/A</v>
      </c>
      <c r="D409" s="9" t="e">
        <f>($B$3+$B$4)*COS(C409)-$B$4*COS((($B$3+$B$4)/$B$4)*C409)</f>
        <v>#N/A</v>
      </c>
      <c r="E409" s="9" t="e">
        <f>($B$3+$B$4)*SIN(C409)-$B$4*SIN((($B$3+$B$4)/$B$4)*C409)</f>
        <v>#N/A</v>
      </c>
      <c r="F409" s="5"/>
      <c r="G409" s="5"/>
      <c r="H409" s="5"/>
    </row>
    <row r="410" spans="1:8" x14ac:dyDescent="0.3">
      <c r="A410" s="9">
        <f>ROW()-ROW($A$14)</f>
        <v>396</v>
      </c>
      <c r="B410" s="9" t="e">
        <f>IF(A410&lt;=$B$8,$B$6+(A410-1)*($B$7-$B$6)/MAX(1,$B$8-1),NA())</f>
        <v>#N/A</v>
      </c>
      <c r="C410" s="9" t="e">
        <f>RADIANS(B410)</f>
        <v>#N/A</v>
      </c>
      <c r="D410" s="9" t="e">
        <f>($B$3+$B$4)*COS(C410)-$B$4*COS((($B$3+$B$4)/$B$4)*C410)</f>
        <v>#N/A</v>
      </c>
      <c r="E410" s="9" t="e">
        <f>($B$3+$B$4)*SIN(C410)-$B$4*SIN((($B$3+$B$4)/$B$4)*C410)</f>
        <v>#N/A</v>
      </c>
      <c r="F410" s="5"/>
      <c r="G410" s="5"/>
      <c r="H410" s="5"/>
    </row>
    <row r="411" spans="1:8" x14ac:dyDescent="0.3">
      <c r="A411" s="9">
        <f>ROW()-ROW($A$14)</f>
        <v>397</v>
      </c>
      <c r="B411" s="9" t="e">
        <f>IF(A411&lt;=$B$8,$B$6+(A411-1)*($B$7-$B$6)/MAX(1,$B$8-1),NA())</f>
        <v>#N/A</v>
      </c>
      <c r="C411" s="9" t="e">
        <f>RADIANS(B411)</f>
        <v>#N/A</v>
      </c>
      <c r="D411" s="9" t="e">
        <f>($B$3+$B$4)*COS(C411)-$B$4*COS((($B$3+$B$4)/$B$4)*C411)</f>
        <v>#N/A</v>
      </c>
      <c r="E411" s="9" t="e">
        <f>($B$3+$B$4)*SIN(C411)-$B$4*SIN((($B$3+$B$4)/$B$4)*C411)</f>
        <v>#N/A</v>
      </c>
      <c r="F411" s="5"/>
      <c r="G411" s="5"/>
      <c r="H411" s="5"/>
    </row>
    <row r="412" spans="1:8" x14ac:dyDescent="0.3">
      <c r="A412" s="9">
        <f>ROW()-ROW($A$14)</f>
        <v>398</v>
      </c>
      <c r="B412" s="9" t="e">
        <f>IF(A412&lt;=$B$8,$B$6+(A412-1)*($B$7-$B$6)/MAX(1,$B$8-1),NA())</f>
        <v>#N/A</v>
      </c>
      <c r="C412" s="9" t="e">
        <f>RADIANS(B412)</f>
        <v>#N/A</v>
      </c>
      <c r="D412" s="9" t="e">
        <f>($B$3+$B$4)*COS(C412)-$B$4*COS((($B$3+$B$4)/$B$4)*C412)</f>
        <v>#N/A</v>
      </c>
      <c r="E412" s="9" t="e">
        <f>($B$3+$B$4)*SIN(C412)-$B$4*SIN((($B$3+$B$4)/$B$4)*C412)</f>
        <v>#N/A</v>
      </c>
      <c r="F412" s="5"/>
      <c r="G412" s="5"/>
      <c r="H412" s="5"/>
    </row>
    <row r="413" spans="1:8" x14ac:dyDescent="0.3">
      <c r="A413" s="9">
        <f>ROW()-ROW($A$14)</f>
        <v>399</v>
      </c>
      <c r="B413" s="9" t="e">
        <f>IF(A413&lt;=$B$8,$B$6+(A413-1)*($B$7-$B$6)/MAX(1,$B$8-1),NA())</f>
        <v>#N/A</v>
      </c>
      <c r="C413" s="9" t="e">
        <f>RADIANS(B413)</f>
        <v>#N/A</v>
      </c>
      <c r="D413" s="9" t="e">
        <f>($B$3+$B$4)*COS(C413)-$B$4*COS((($B$3+$B$4)/$B$4)*C413)</f>
        <v>#N/A</v>
      </c>
      <c r="E413" s="9" t="e">
        <f>($B$3+$B$4)*SIN(C413)-$B$4*SIN((($B$3+$B$4)/$B$4)*C413)</f>
        <v>#N/A</v>
      </c>
      <c r="F413" s="5"/>
      <c r="G413" s="5"/>
      <c r="H413" s="5"/>
    </row>
    <row r="414" spans="1:8" x14ac:dyDescent="0.3">
      <c r="A414" s="9">
        <f>ROW()-ROW($A$14)</f>
        <v>400</v>
      </c>
      <c r="B414" s="9" t="e">
        <f>IF(A414&lt;=$B$8,$B$6+(A414-1)*($B$7-$B$6)/MAX(1,$B$8-1),NA())</f>
        <v>#N/A</v>
      </c>
      <c r="C414" s="9" t="e">
        <f>RADIANS(B414)</f>
        <v>#N/A</v>
      </c>
      <c r="D414" s="9" t="e">
        <f>($B$3+$B$4)*COS(C414)-$B$4*COS((($B$3+$B$4)/$B$4)*C414)</f>
        <v>#N/A</v>
      </c>
      <c r="E414" s="9" t="e">
        <f>($B$3+$B$4)*SIN(C414)-$B$4*SIN((($B$3+$B$4)/$B$4)*C414)</f>
        <v>#N/A</v>
      </c>
      <c r="F414" s="5"/>
      <c r="G414" s="5"/>
      <c r="H414" s="5"/>
    </row>
    <row r="415" spans="1:8" x14ac:dyDescent="0.3">
      <c r="A415" s="9">
        <f>ROW()-ROW($A$14)</f>
        <v>401</v>
      </c>
      <c r="B415" s="9" t="e">
        <f>IF(A415&lt;=$B$8,$B$6+(A415-1)*($B$7-$B$6)/MAX(1,$B$8-1),NA())</f>
        <v>#N/A</v>
      </c>
      <c r="C415" s="9" t="e">
        <f>RADIANS(B415)</f>
        <v>#N/A</v>
      </c>
      <c r="D415" s="9" t="e">
        <f>($B$3+$B$4)*COS(C415)-$B$4*COS((($B$3+$B$4)/$B$4)*C415)</f>
        <v>#N/A</v>
      </c>
      <c r="E415" s="9" t="e">
        <f>($B$3+$B$4)*SIN(C415)-$B$4*SIN((($B$3+$B$4)/$B$4)*C415)</f>
        <v>#N/A</v>
      </c>
      <c r="F415" s="5"/>
      <c r="G415" s="5"/>
      <c r="H415" s="5"/>
    </row>
    <row r="416" spans="1:8" x14ac:dyDescent="0.3">
      <c r="A416" s="9">
        <f>ROW()-ROW($A$14)</f>
        <v>402</v>
      </c>
      <c r="B416" s="9" t="e">
        <f>IF(A416&lt;=$B$8,$B$6+(A416-1)*($B$7-$B$6)/MAX(1,$B$8-1),NA())</f>
        <v>#N/A</v>
      </c>
      <c r="C416" s="9" t="e">
        <f>RADIANS(B416)</f>
        <v>#N/A</v>
      </c>
      <c r="D416" s="9" t="e">
        <f>($B$3+$B$4)*COS(C416)-$B$4*COS((($B$3+$B$4)/$B$4)*C416)</f>
        <v>#N/A</v>
      </c>
      <c r="E416" s="9" t="e">
        <f>($B$3+$B$4)*SIN(C416)-$B$4*SIN((($B$3+$B$4)/$B$4)*C416)</f>
        <v>#N/A</v>
      </c>
      <c r="F416" s="5"/>
      <c r="G416" s="5"/>
      <c r="H416" s="5"/>
    </row>
    <row r="417" spans="1:8" x14ac:dyDescent="0.3">
      <c r="A417" s="9">
        <f>ROW()-ROW($A$14)</f>
        <v>403</v>
      </c>
      <c r="B417" s="9" t="e">
        <f>IF(A417&lt;=$B$8,$B$6+(A417-1)*($B$7-$B$6)/MAX(1,$B$8-1),NA())</f>
        <v>#N/A</v>
      </c>
      <c r="C417" s="9" t="e">
        <f>RADIANS(B417)</f>
        <v>#N/A</v>
      </c>
      <c r="D417" s="9" t="e">
        <f>($B$3+$B$4)*COS(C417)-$B$4*COS((($B$3+$B$4)/$B$4)*C417)</f>
        <v>#N/A</v>
      </c>
      <c r="E417" s="9" t="e">
        <f>($B$3+$B$4)*SIN(C417)-$B$4*SIN((($B$3+$B$4)/$B$4)*C417)</f>
        <v>#N/A</v>
      </c>
      <c r="F417" s="5"/>
      <c r="G417" s="5"/>
      <c r="H417" s="5"/>
    </row>
    <row r="418" spans="1:8" x14ac:dyDescent="0.3">
      <c r="A418" s="9">
        <f>ROW()-ROW($A$14)</f>
        <v>404</v>
      </c>
      <c r="B418" s="9" t="e">
        <f>IF(A418&lt;=$B$8,$B$6+(A418-1)*($B$7-$B$6)/MAX(1,$B$8-1),NA())</f>
        <v>#N/A</v>
      </c>
      <c r="C418" s="9" t="e">
        <f>RADIANS(B418)</f>
        <v>#N/A</v>
      </c>
      <c r="D418" s="9" t="e">
        <f>($B$3+$B$4)*COS(C418)-$B$4*COS((($B$3+$B$4)/$B$4)*C418)</f>
        <v>#N/A</v>
      </c>
      <c r="E418" s="9" t="e">
        <f>($B$3+$B$4)*SIN(C418)-$B$4*SIN((($B$3+$B$4)/$B$4)*C418)</f>
        <v>#N/A</v>
      </c>
      <c r="F418" s="5"/>
      <c r="G418" s="5"/>
      <c r="H418" s="5"/>
    </row>
    <row r="419" spans="1:8" x14ac:dyDescent="0.3">
      <c r="A419" s="9">
        <f>ROW()-ROW($A$14)</f>
        <v>405</v>
      </c>
      <c r="B419" s="9" t="e">
        <f>IF(A419&lt;=$B$8,$B$6+(A419-1)*($B$7-$B$6)/MAX(1,$B$8-1),NA())</f>
        <v>#N/A</v>
      </c>
      <c r="C419" s="9" t="e">
        <f>RADIANS(B419)</f>
        <v>#N/A</v>
      </c>
      <c r="D419" s="9" t="e">
        <f>($B$3+$B$4)*COS(C419)-$B$4*COS((($B$3+$B$4)/$B$4)*C419)</f>
        <v>#N/A</v>
      </c>
      <c r="E419" s="9" t="e">
        <f>($B$3+$B$4)*SIN(C419)-$B$4*SIN((($B$3+$B$4)/$B$4)*C419)</f>
        <v>#N/A</v>
      </c>
      <c r="F419" s="5"/>
      <c r="G419" s="5"/>
      <c r="H419" s="5"/>
    </row>
    <row r="420" spans="1:8" x14ac:dyDescent="0.3">
      <c r="A420" s="9">
        <f>ROW()-ROW($A$14)</f>
        <v>406</v>
      </c>
      <c r="B420" s="9" t="e">
        <f>IF(A420&lt;=$B$8,$B$6+(A420-1)*($B$7-$B$6)/MAX(1,$B$8-1),NA())</f>
        <v>#N/A</v>
      </c>
      <c r="C420" s="9" t="e">
        <f>RADIANS(B420)</f>
        <v>#N/A</v>
      </c>
      <c r="D420" s="9" t="e">
        <f>($B$3+$B$4)*COS(C420)-$B$4*COS((($B$3+$B$4)/$B$4)*C420)</f>
        <v>#N/A</v>
      </c>
      <c r="E420" s="9" t="e">
        <f>($B$3+$B$4)*SIN(C420)-$B$4*SIN((($B$3+$B$4)/$B$4)*C420)</f>
        <v>#N/A</v>
      </c>
      <c r="F420" s="5"/>
      <c r="G420" s="5"/>
      <c r="H420" s="5"/>
    </row>
    <row r="421" spans="1:8" x14ac:dyDescent="0.3">
      <c r="A421" s="9">
        <f>ROW()-ROW($A$14)</f>
        <v>407</v>
      </c>
      <c r="B421" s="9" t="e">
        <f>IF(A421&lt;=$B$8,$B$6+(A421-1)*($B$7-$B$6)/MAX(1,$B$8-1),NA())</f>
        <v>#N/A</v>
      </c>
      <c r="C421" s="9" t="e">
        <f>RADIANS(B421)</f>
        <v>#N/A</v>
      </c>
      <c r="D421" s="9" t="e">
        <f>($B$3+$B$4)*COS(C421)-$B$4*COS((($B$3+$B$4)/$B$4)*C421)</f>
        <v>#N/A</v>
      </c>
      <c r="E421" s="9" t="e">
        <f>($B$3+$B$4)*SIN(C421)-$B$4*SIN((($B$3+$B$4)/$B$4)*C421)</f>
        <v>#N/A</v>
      </c>
      <c r="F421" s="5"/>
      <c r="G421" s="5"/>
      <c r="H421" s="5"/>
    </row>
    <row r="422" spans="1:8" x14ac:dyDescent="0.3">
      <c r="A422" s="9">
        <f>ROW()-ROW($A$14)</f>
        <v>408</v>
      </c>
      <c r="B422" s="9" t="e">
        <f>IF(A422&lt;=$B$8,$B$6+(A422-1)*($B$7-$B$6)/MAX(1,$B$8-1),NA())</f>
        <v>#N/A</v>
      </c>
      <c r="C422" s="9" t="e">
        <f>RADIANS(B422)</f>
        <v>#N/A</v>
      </c>
      <c r="D422" s="9" t="e">
        <f>($B$3+$B$4)*COS(C422)-$B$4*COS((($B$3+$B$4)/$B$4)*C422)</f>
        <v>#N/A</v>
      </c>
      <c r="E422" s="9" t="e">
        <f>($B$3+$B$4)*SIN(C422)-$B$4*SIN((($B$3+$B$4)/$B$4)*C422)</f>
        <v>#N/A</v>
      </c>
      <c r="F422" s="5"/>
      <c r="G422" s="5"/>
      <c r="H422" s="5"/>
    </row>
    <row r="423" spans="1:8" x14ac:dyDescent="0.3">
      <c r="A423" s="9">
        <f>ROW()-ROW($A$14)</f>
        <v>409</v>
      </c>
      <c r="B423" s="9" t="e">
        <f>IF(A423&lt;=$B$8,$B$6+(A423-1)*($B$7-$B$6)/MAX(1,$B$8-1),NA())</f>
        <v>#N/A</v>
      </c>
      <c r="C423" s="9" t="e">
        <f>RADIANS(B423)</f>
        <v>#N/A</v>
      </c>
      <c r="D423" s="9" t="e">
        <f>($B$3+$B$4)*COS(C423)-$B$4*COS((($B$3+$B$4)/$B$4)*C423)</f>
        <v>#N/A</v>
      </c>
      <c r="E423" s="9" t="e">
        <f>($B$3+$B$4)*SIN(C423)-$B$4*SIN((($B$3+$B$4)/$B$4)*C423)</f>
        <v>#N/A</v>
      </c>
      <c r="F423" s="5"/>
      <c r="G423" s="5"/>
      <c r="H423" s="5"/>
    </row>
    <row r="424" spans="1:8" x14ac:dyDescent="0.3">
      <c r="A424" s="9">
        <f>ROW()-ROW($A$14)</f>
        <v>410</v>
      </c>
      <c r="B424" s="9" t="e">
        <f>IF(A424&lt;=$B$8,$B$6+(A424-1)*($B$7-$B$6)/MAX(1,$B$8-1),NA())</f>
        <v>#N/A</v>
      </c>
      <c r="C424" s="9" t="e">
        <f>RADIANS(B424)</f>
        <v>#N/A</v>
      </c>
      <c r="D424" s="9" t="e">
        <f>($B$3+$B$4)*COS(C424)-$B$4*COS((($B$3+$B$4)/$B$4)*C424)</f>
        <v>#N/A</v>
      </c>
      <c r="E424" s="9" t="e">
        <f>($B$3+$B$4)*SIN(C424)-$B$4*SIN((($B$3+$B$4)/$B$4)*C424)</f>
        <v>#N/A</v>
      </c>
      <c r="F424" s="5"/>
      <c r="G424" s="5"/>
      <c r="H424" s="5"/>
    </row>
    <row r="425" spans="1:8" x14ac:dyDescent="0.3">
      <c r="A425" s="9">
        <f>ROW()-ROW($A$14)</f>
        <v>411</v>
      </c>
      <c r="B425" s="9" t="e">
        <f>IF(A425&lt;=$B$8,$B$6+(A425-1)*($B$7-$B$6)/MAX(1,$B$8-1),NA())</f>
        <v>#N/A</v>
      </c>
      <c r="C425" s="9" t="e">
        <f>RADIANS(B425)</f>
        <v>#N/A</v>
      </c>
      <c r="D425" s="9" t="e">
        <f>($B$3+$B$4)*COS(C425)-$B$4*COS((($B$3+$B$4)/$B$4)*C425)</f>
        <v>#N/A</v>
      </c>
      <c r="E425" s="9" t="e">
        <f>($B$3+$B$4)*SIN(C425)-$B$4*SIN((($B$3+$B$4)/$B$4)*C425)</f>
        <v>#N/A</v>
      </c>
      <c r="F425" s="5"/>
      <c r="G425" s="5"/>
      <c r="H425" s="5"/>
    </row>
    <row r="426" spans="1:8" x14ac:dyDescent="0.3">
      <c r="A426" s="9">
        <f>ROW()-ROW($A$14)</f>
        <v>412</v>
      </c>
      <c r="B426" s="9" t="e">
        <f>IF(A426&lt;=$B$8,$B$6+(A426-1)*($B$7-$B$6)/MAX(1,$B$8-1),NA())</f>
        <v>#N/A</v>
      </c>
      <c r="C426" s="9" t="e">
        <f>RADIANS(B426)</f>
        <v>#N/A</v>
      </c>
      <c r="D426" s="9" t="e">
        <f>($B$3+$B$4)*COS(C426)-$B$4*COS((($B$3+$B$4)/$B$4)*C426)</f>
        <v>#N/A</v>
      </c>
      <c r="E426" s="9" t="e">
        <f>($B$3+$B$4)*SIN(C426)-$B$4*SIN((($B$3+$B$4)/$B$4)*C426)</f>
        <v>#N/A</v>
      </c>
      <c r="F426" s="5"/>
      <c r="G426" s="5"/>
      <c r="H426" s="5"/>
    </row>
    <row r="427" spans="1:8" x14ac:dyDescent="0.3">
      <c r="A427" s="9">
        <f>ROW()-ROW($A$14)</f>
        <v>413</v>
      </c>
      <c r="B427" s="9" t="e">
        <f>IF(A427&lt;=$B$8,$B$6+(A427-1)*($B$7-$B$6)/MAX(1,$B$8-1),NA())</f>
        <v>#N/A</v>
      </c>
      <c r="C427" s="9" t="e">
        <f>RADIANS(B427)</f>
        <v>#N/A</v>
      </c>
      <c r="D427" s="9" t="e">
        <f>($B$3+$B$4)*COS(C427)-$B$4*COS((($B$3+$B$4)/$B$4)*C427)</f>
        <v>#N/A</v>
      </c>
      <c r="E427" s="9" t="e">
        <f>($B$3+$B$4)*SIN(C427)-$B$4*SIN((($B$3+$B$4)/$B$4)*C427)</f>
        <v>#N/A</v>
      </c>
      <c r="F427" s="5"/>
      <c r="G427" s="5"/>
      <c r="H427" s="5"/>
    </row>
    <row r="428" spans="1:8" x14ac:dyDescent="0.3">
      <c r="A428" s="9">
        <f>ROW()-ROW($A$14)</f>
        <v>414</v>
      </c>
      <c r="B428" s="9" t="e">
        <f>IF(A428&lt;=$B$8,$B$6+(A428-1)*($B$7-$B$6)/MAX(1,$B$8-1),NA())</f>
        <v>#N/A</v>
      </c>
      <c r="C428" s="9" t="e">
        <f>RADIANS(B428)</f>
        <v>#N/A</v>
      </c>
      <c r="D428" s="9" t="e">
        <f>($B$3+$B$4)*COS(C428)-$B$4*COS((($B$3+$B$4)/$B$4)*C428)</f>
        <v>#N/A</v>
      </c>
      <c r="E428" s="9" t="e">
        <f>($B$3+$B$4)*SIN(C428)-$B$4*SIN((($B$3+$B$4)/$B$4)*C428)</f>
        <v>#N/A</v>
      </c>
      <c r="F428" s="5"/>
      <c r="G428" s="5"/>
      <c r="H428" s="5"/>
    </row>
    <row r="429" spans="1:8" x14ac:dyDescent="0.3">
      <c r="A429" s="9">
        <f>ROW()-ROW($A$14)</f>
        <v>415</v>
      </c>
      <c r="B429" s="9" t="e">
        <f>IF(A429&lt;=$B$8,$B$6+(A429-1)*($B$7-$B$6)/MAX(1,$B$8-1),NA())</f>
        <v>#N/A</v>
      </c>
      <c r="C429" s="9" t="e">
        <f>RADIANS(B429)</f>
        <v>#N/A</v>
      </c>
      <c r="D429" s="9" t="e">
        <f>($B$3+$B$4)*COS(C429)-$B$4*COS((($B$3+$B$4)/$B$4)*C429)</f>
        <v>#N/A</v>
      </c>
      <c r="E429" s="9" t="e">
        <f>($B$3+$B$4)*SIN(C429)-$B$4*SIN((($B$3+$B$4)/$B$4)*C429)</f>
        <v>#N/A</v>
      </c>
      <c r="F429" s="5"/>
      <c r="G429" s="5"/>
      <c r="H429" s="5"/>
    </row>
    <row r="430" spans="1:8" x14ac:dyDescent="0.3">
      <c r="A430" s="9">
        <f>ROW()-ROW($A$14)</f>
        <v>416</v>
      </c>
      <c r="B430" s="9" t="e">
        <f>IF(A430&lt;=$B$8,$B$6+(A430-1)*($B$7-$B$6)/MAX(1,$B$8-1),NA())</f>
        <v>#N/A</v>
      </c>
      <c r="C430" s="9" t="e">
        <f>RADIANS(B430)</f>
        <v>#N/A</v>
      </c>
      <c r="D430" s="9" t="e">
        <f>($B$3+$B$4)*COS(C430)-$B$4*COS((($B$3+$B$4)/$B$4)*C430)</f>
        <v>#N/A</v>
      </c>
      <c r="E430" s="9" t="e">
        <f>($B$3+$B$4)*SIN(C430)-$B$4*SIN((($B$3+$B$4)/$B$4)*C430)</f>
        <v>#N/A</v>
      </c>
      <c r="F430" s="5"/>
      <c r="G430" s="5"/>
      <c r="H430" s="5"/>
    </row>
    <row r="431" spans="1:8" x14ac:dyDescent="0.3">
      <c r="A431" s="9">
        <f>ROW()-ROW($A$14)</f>
        <v>417</v>
      </c>
      <c r="B431" s="9" t="e">
        <f>IF(A431&lt;=$B$8,$B$6+(A431-1)*($B$7-$B$6)/MAX(1,$B$8-1),NA())</f>
        <v>#N/A</v>
      </c>
      <c r="C431" s="9" t="e">
        <f>RADIANS(B431)</f>
        <v>#N/A</v>
      </c>
      <c r="D431" s="9" t="e">
        <f>($B$3+$B$4)*COS(C431)-$B$4*COS((($B$3+$B$4)/$B$4)*C431)</f>
        <v>#N/A</v>
      </c>
      <c r="E431" s="9" t="e">
        <f>($B$3+$B$4)*SIN(C431)-$B$4*SIN((($B$3+$B$4)/$B$4)*C431)</f>
        <v>#N/A</v>
      </c>
      <c r="F431" s="5"/>
      <c r="G431" s="5"/>
      <c r="H431" s="5"/>
    </row>
    <row r="432" spans="1:8" x14ac:dyDescent="0.3">
      <c r="A432" s="9">
        <f>ROW()-ROW($A$14)</f>
        <v>418</v>
      </c>
      <c r="B432" s="9" t="e">
        <f>IF(A432&lt;=$B$8,$B$6+(A432-1)*($B$7-$B$6)/MAX(1,$B$8-1),NA())</f>
        <v>#N/A</v>
      </c>
      <c r="C432" s="9" t="e">
        <f>RADIANS(B432)</f>
        <v>#N/A</v>
      </c>
      <c r="D432" s="9" t="e">
        <f>($B$3+$B$4)*COS(C432)-$B$4*COS((($B$3+$B$4)/$B$4)*C432)</f>
        <v>#N/A</v>
      </c>
      <c r="E432" s="9" t="e">
        <f>($B$3+$B$4)*SIN(C432)-$B$4*SIN((($B$3+$B$4)/$B$4)*C432)</f>
        <v>#N/A</v>
      </c>
      <c r="F432" s="5"/>
      <c r="G432" s="5"/>
      <c r="H432" s="5"/>
    </row>
    <row r="433" spans="1:8" x14ac:dyDescent="0.3">
      <c r="A433" s="9">
        <f>ROW()-ROW($A$14)</f>
        <v>419</v>
      </c>
      <c r="B433" s="9" t="e">
        <f>IF(A433&lt;=$B$8,$B$6+(A433-1)*($B$7-$B$6)/MAX(1,$B$8-1),NA())</f>
        <v>#N/A</v>
      </c>
      <c r="C433" s="9" t="e">
        <f>RADIANS(B433)</f>
        <v>#N/A</v>
      </c>
      <c r="D433" s="9" t="e">
        <f>($B$3+$B$4)*COS(C433)-$B$4*COS((($B$3+$B$4)/$B$4)*C433)</f>
        <v>#N/A</v>
      </c>
      <c r="E433" s="9" t="e">
        <f>($B$3+$B$4)*SIN(C433)-$B$4*SIN((($B$3+$B$4)/$B$4)*C433)</f>
        <v>#N/A</v>
      </c>
      <c r="F433" s="5"/>
      <c r="G433" s="5"/>
      <c r="H433" s="5"/>
    </row>
    <row r="434" spans="1:8" x14ac:dyDescent="0.3">
      <c r="A434" s="9">
        <f>ROW()-ROW($A$14)</f>
        <v>420</v>
      </c>
      <c r="B434" s="9" t="e">
        <f>IF(A434&lt;=$B$8,$B$6+(A434-1)*($B$7-$B$6)/MAX(1,$B$8-1),NA())</f>
        <v>#N/A</v>
      </c>
      <c r="C434" s="9" t="e">
        <f>RADIANS(B434)</f>
        <v>#N/A</v>
      </c>
      <c r="D434" s="9" t="e">
        <f>($B$3+$B$4)*COS(C434)-$B$4*COS((($B$3+$B$4)/$B$4)*C434)</f>
        <v>#N/A</v>
      </c>
      <c r="E434" s="9" t="e">
        <f>($B$3+$B$4)*SIN(C434)-$B$4*SIN((($B$3+$B$4)/$B$4)*C434)</f>
        <v>#N/A</v>
      </c>
      <c r="F434" s="5"/>
      <c r="G434" s="5"/>
      <c r="H434" s="5"/>
    </row>
    <row r="435" spans="1:8" x14ac:dyDescent="0.3">
      <c r="A435" s="9">
        <f>ROW()-ROW($A$14)</f>
        <v>421</v>
      </c>
      <c r="B435" s="9" t="e">
        <f>IF(A435&lt;=$B$8,$B$6+(A435-1)*($B$7-$B$6)/MAX(1,$B$8-1),NA())</f>
        <v>#N/A</v>
      </c>
      <c r="C435" s="9" t="e">
        <f>RADIANS(B435)</f>
        <v>#N/A</v>
      </c>
      <c r="D435" s="9" t="e">
        <f>($B$3+$B$4)*COS(C435)-$B$4*COS((($B$3+$B$4)/$B$4)*C435)</f>
        <v>#N/A</v>
      </c>
      <c r="E435" s="9" t="e">
        <f>($B$3+$B$4)*SIN(C435)-$B$4*SIN((($B$3+$B$4)/$B$4)*C435)</f>
        <v>#N/A</v>
      </c>
      <c r="F435" s="5"/>
      <c r="G435" s="5"/>
      <c r="H435" s="5"/>
    </row>
    <row r="436" spans="1:8" x14ac:dyDescent="0.3">
      <c r="A436" s="9">
        <f>ROW()-ROW($A$14)</f>
        <v>422</v>
      </c>
      <c r="B436" s="9" t="e">
        <f>IF(A436&lt;=$B$8,$B$6+(A436-1)*($B$7-$B$6)/MAX(1,$B$8-1),NA())</f>
        <v>#N/A</v>
      </c>
      <c r="C436" s="9" t="e">
        <f>RADIANS(B436)</f>
        <v>#N/A</v>
      </c>
      <c r="D436" s="9" t="e">
        <f>($B$3+$B$4)*COS(C436)-$B$4*COS((($B$3+$B$4)/$B$4)*C436)</f>
        <v>#N/A</v>
      </c>
      <c r="E436" s="9" t="e">
        <f>($B$3+$B$4)*SIN(C436)-$B$4*SIN((($B$3+$B$4)/$B$4)*C436)</f>
        <v>#N/A</v>
      </c>
      <c r="F436" s="5"/>
      <c r="G436" s="5"/>
      <c r="H436" s="5"/>
    </row>
    <row r="437" spans="1:8" x14ac:dyDescent="0.3">
      <c r="A437" s="9">
        <f>ROW()-ROW($A$14)</f>
        <v>423</v>
      </c>
      <c r="B437" s="9" t="e">
        <f>IF(A437&lt;=$B$8,$B$6+(A437-1)*($B$7-$B$6)/MAX(1,$B$8-1),NA())</f>
        <v>#N/A</v>
      </c>
      <c r="C437" s="9" t="e">
        <f>RADIANS(B437)</f>
        <v>#N/A</v>
      </c>
      <c r="D437" s="9" t="e">
        <f>($B$3+$B$4)*COS(C437)-$B$4*COS((($B$3+$B$4)/$B$4)*C437)</f>
        <v>#N/A</v>
      </c>
      <c r="E437" s="9" t="e">
        <f>($B$3+$B$4)*SIN(C437)-$B$4*SIN((($B$3+$B$4)/$B$4)*C437)</f>
        <v>#N/A</v>
      </c>
      <c r="F437" s="5"/>
      <c r="G437" s="5"/>
      <c r="H437" s="5"/>
    </row>
    <row r="438" spans="1:8" x14ac:dyDescent="0.3">
      <c r="A438" s="9">
        <f>ROW()-ROW($A$14)</f>
        <v>424</v>
      </c>
      <c r="B438" s="9" t="e">
        <f>IF(A438&lt;=$B$8,$B$6+(A438-1)*($B$7-$B$6)/MAX(1,$B$8-1),NA())</f>
        <v>#N/A</v>
      </c>
      <c r="C438" s="9" t="e">
        <f>RADIANS(B438)</f>
        <v>#N/A</v>
      </c>
      <c r="D438" s="9" t="e">
        <f>($B$3+$B$4)*COS(C438)-$B$4*COS((($B$3+$B$4)/$B$4)*C438)</f>
        <v>#N/A</v>
      </c>
      <c r="E438" s="9" t="e">
        <f>($B$3+$B$4)*SIN(C438)-$B$4*SIN((($B$3+$B$4)/$B$4)*C438)</f>
        <v>#N/A</v>
      </c>
      <c r="F438" s="5"/>
      <c r="G438" s="5"/>
      <c r="H438" s="5"/>
    </row>
    <row r="439" spans="1:8" x14ac:dyDescent="0.3">
      <c r="A439" s="9">
        <f>ROW()-ROW($A$14)</f>
        <v>425</v>
      </c>
      <c r="B439" s="9" t="e">
        <f>IF(A439&lt;=$B$8,$B$6+(A439-1)*($B$7-$B$6)/MAX(1,$B$8-1),NA())</f>
        <v>#N/A</v>
      </c>
      <c r="C439" s="9" t="e">
        <f>RADIANS(B439)</f>
        <v>#N/A</v>
      </c>
      <c r="D439" s="9" t="e">
        <f>($B$3+$B$4)*COS(C439)-$B$4*COS((($B$3+$B$4)/$B$4)*C439)</f>
        <v>#N/A</v>
      </c>
      <c r="E439" s="9" t="e">
        <f>($B$3+$B$4)*SIN(C439)-$B$4*SIN((($B$3+$B$4)/$B$4)*C439)</f>
        <v>#N/A</v>
      </c>
      <c r="F439" s="5"/>
      <c r="G439" s="5"/>
      <c r="H439" s="5"/>
    </row>
    <row r="440" spans="1:8" x14ac:dyDescent="0.3">
      <c r="A440" s="9">
        <f>ROW()-ROW($A$14)</f>
        <v>426</v>
      </c>
      <c r="B440" s="9" t="e">
        <f>IF(A440&lt;=$B$8,$B$6+(A440-1)*($B$7-$B$6)/MAX(1,$B$8-1),NA())</f>
        <v>#N/A</v>
      </c>
      <c r="C440" s="9" t="e">
        <f>RADIANS(B440)</f>
        <v>#N/A</v>
      </c>
      <c r="D440" s="9" t="e">
        <f>($B$3+$B$4)*COS(C440)-$B$4*COS((($B$3+$B$4)/$B$4)*C440)</f>
        <v>#N/A</v>
      </c>
      <c r="E440" s="9" t="e">
        <f>($B$3+$B$4)*SIN(C440)-$B$4*SIN((($B$3+$B$4)/$B$4)*C440)</f>
        <v>#N/A</v>
      </c>
      <c r="F440" s="5"/>
      <c r="G440" s="5"/>
      <c r="H440" s="5"/>
    </row>
    <row r="441" spans="1:8" x14ac:dyDescent="0.3">
      <c r="A441" s="9">
        <f>ROW()-ROW($A$14)</f>
        <v>427</v>
      </c>
      <c r="B441" s="9" t="e">
        <f>IF(A441&lt;=$B$8,$B$6+(A441-1)*($B$7-$B$6)/MAX(1,$B$8-1),NA())</f>
        <v>#N/A</v>
      </c>
      <c r="C441" s="9" t="e">
        <f>RADIANS(B441)</f>
        <v>#N/A</v>
      </c>
      <c r="D441" s="9" t="e">
        <f>($B$3+$B$4)*COS(C441)-$B$4*COS((($B$3+$B$4)/$B$4)*C441)</f>
        <v>#N/A</v>
      </c>
      <c r="E441" s="9" t="e">
        <f>($B$3+$B$4)*SIN(C441)-$B$4*SIN((($B$3+$B$4)/$B$4)*C441)</f>
        <v>#N/A</v>
      </c>
      <c r="F441" s="5"/>
      <c r="G441" s="5"/>
      <c r="H441" s="5"/>
    </row>
    <row r="442" spans="1:8" x14ac:dyDescent="0.3">
      <c r="A442" s="9">
        <f>ROW()-ROW($A$14)</f>
        <v>428</v>
      </c>
      <c r="B442" s="9" t="e">
        <f>IF(A442&lt;=$B$8,$B$6+(A442-1)*($B$7-$B$6)/MAX(1,$B$8-1),NA())</f>
        <v>#N/A</v>
      </c>
      <c r="C442" s="9" t="e">
        <f>RADIANS(B442)</f>
        <v>#N/A</v>
      </c>
      <c r="D442" s="9" t="e">
        <f>($B$3+$B$4)*COS(C442)-$B$4*COS((($B$3+$B$4)/$B$4)*C442)</f>
        <v>#N/A</v>
      </c>
      <c r="E442" s="9" t="e">
        <f>($B$3+$B$4)*SIN(C442)-$B$4*SIN((($B$3+$B$4)/$B$4)*C442)</f>
        <v>#N/A</v>
      </c>
      <c r="F442" s="5"/>
      <c r="G442" s="5"/>
      <c r="H442" s="5"/>
    </row>
    <row r="443" spans="1:8" x14ac:dyDescent="0.3">
      <c r="A443" s="9">
        <f>ROW()-ROW($A$14)</f>
        <v>429</v>
      </c>
      <c r="B443" s="9" t="e">
        <f>IF(A443&lt;=$B$8,$B$6+(A443-1)*($B$7-$B$6)/MAX(1,$B$8-1),NA())</f>
        <v>#N/A</v>
      </c>
      <c r="C443" s="9" t="e">
        <f>RADIANS(B443)</f>
        <v>#N/A</v>
      </c>
      <c r="D443" s="9" t="e">
        <f>($B$3+$B$4)*COS(C443)-$B$4*COS((($B$3+$B$4)/$B$4)*C443)</f>
        <v>#N/A</v>
      </c>
      <c r="E443" s="9" t="e">
        <f>($B$3+$B$4)*SIN(C443)-$B$4*SIN((($B$3+$B$4)/$B$4)*C443)</f>
        <v>#N/A</v>
      </c>
      <c r="F443" s="5"/>
      <c r="G443" s="5"/>
      <c r="H443" s="5"/>
    </row>
    <row r="444" spans="1:8" x14ac:dyDescent="0.3">
      <c r="A444" s="9">
        <f>ROW()-ROW($A$14)</f>
        <v>430</v>
      </c>
      <c r="B444" s="9" t="e">
        <f>IF(A444&lt;=$B$8,$B$6+(A444-1)*($B$7-$B$6)/MAX(1,$B$8-1),NA())</f>
        <v>#N/A</v>
      </c>
      <c r="C444" s="9" t="e">
        <f>RADIANS(B444)</f>
        <v>#N/A</v>
      </c>
      <c r="D444" s="9" t="e">
        <f>($B$3+$B$4)*COS(C444)-$B$4*COS((($B$3+$B$4)/$B$4)*C444)</f>
        <v>#N/A</v>
      </c>
      <c r="E444" s="9" t="e">
        <f>($B$3+$B$4)*SIN(C444)-$B$4*SIN((($B$3+$B$4)/$B$4)*C444)</f>
        <v>#N/A</v>
      </c>
      <c r="F444" s="5"/>
      <c r="G444" s="5"/>
      <c r="H444" s="5"/>
    </row>
    <row r="445" spans="1:8" x14ac:dyDescent="0.3">
      <c r="A445" s="9">
        <f>ROW()-ROW($A$14)</f>
        <v>431</v>
      </c>
      <c r="B445" s="9" t="e">
        <f>IF(A445&lt;=$B$8,$B$6+(A445-1)*($B$7-$B$6)/MAX(1,$B$8-1),NA())</f>
        <v>#N/A</v>
      </c>
      <c r="C445" s="9" t="e">
        <f>RADIANS(B445)</f>
        <v>#N/A</v>
      </c>
      <c r="D445" s="9" t="e">
        <f>($B$3+$B$4)*COS(C445)-$B$4*COS((($B$3+$B$4)/$B$4)*C445)</f>
        <v>#N/A</v>
      </c>
      <c r="E445" s="9" t="e">
        <f>($B$3+$B$4)*SIN(C445)-$B$4*SIN((($B$3+$B$4)/$B$4)*C445)</f>
        <v>#N/A</v>
      </c>
      <c r="F445" s="5"/>
      <c r="G445" s="5"/>
      <c r="H445" s="5"/>
    </row>
    <row r="446" spans="1:8" x14ac:dyDescent="0.3">
      <c r="A446" s="9">
        <f>ROW()-ROW($A$14)</f>
        <v>432</v>
      </c>
      <c r="B446" s="9" t="e">
        <f>IF(A446&lt;=$B$8,$B$6+(A446-1)*($B$7-$B$6)/MAX(1,$B$8-1),NA())</f>
        <v>#N/A</v>
      </c>
      <c r="C446" s="9" t="e">
        <f>RADIANS(B446)</f>
        <v>#N/A</v>
      </c>
      <c r="D446" s="9" t="e">
        <f>($B$3+$B$4)*COS(C446)-$B$4*COS((($B$3+$B$4)/$B$4)*C446)</f>
        <v>#N/A</v>
      </c>
      <c r="E446" s="9" t="e">
        <f>($B$3+$B$4)*SIN(C446)-$B$4*SIN((($B$3+$B$4)/$B$4)*C446)</f>
        <v>#N/A</v>
      </c>
      <c r="F446" s="5"/>
      <c r="G446" s="5"/>
      <c r="H446" s="5"/>
    </row>
    <row r="447" spans="1:8" x14ac:dyDescent="0.3">
      <c r="A447" s="9">
        <f>ROW()-ROW($A$14)</f>
        <v>433</v>
      </c>
      <c r="B447" s="9" t="e">
        <f>IF(A447&lt;=$B$8,$B$6+(A447-1)*($B$7-$B$6)/MAX(1,$B$8-1),NA())</f>
        <v>#N/A</v>
      </c>
      <c r="C447" s="9" t="e">
        <f>RADIANS(B447)</f>
        <v>#N/A</v>
      </c>
      <c r="D447" s="9" t="e">
        <f>($B$3+$B$4)*COS(C447)-$B$4*COS((($B$3+$B$4)/$B$4)*C447)</f>
        <v>#N/A</v>
      </c>
      <c r="E447" s="9" t="e">
        <f>($B$3+$B$4)*SIN(C447)-$B$4*SIN((($B$3+$B$4)/$B$4)*C447)</f>
        <v>#N/A</v>
      </c>
      <c r="F447" s="5"/>
      <c r="G447" s="5"/>
      <c r="H447" s="5"/>
    </row>
    <row r="448" spans="1:8" x14ac:dyDescent="0.3">
      <c r="A448" s="9">
        <f>ROW()-ROW($A$14)</f>
        <v>434</v>
      </c>
      <c r="B448" s="9" t="e">
        <f>IF(A448&lt;=$B$8,$B$6+(A448-1)*($B$7-$B$6)/MAX(1,$B$8-1),NA())</f>
        <v>#N/A</v>
      </c>
      <c r="C448" s="9" t="e">
        <f>RADIANS(B448)</f>
        <v>#N/A</v>
      </c>
      <c r="D448" s="9" t="e">
        <f>($B$3+$B$4)*COS(C448)-$B$4*COS((($B$3+$B$4)/$B$4)*C448)</f>
        <v>#N/A</v>
      </c>
      <c r="E448" s="9" t="e">
        <f>($B$3+$B$4)*SIN(C448)-$B$4*SIN((($B$3+$B$4)/$B$4)*C448)</f>
        <v>#N/A</v>
      </c>
      <c r="F448" s="5"/>
      <c r="G448" s="5"/>
      <c r="H448" s="5"/>
    </row>
    <row r="449" spans="1:8" x14ac:dyDescent="0.3">
      <c r="A449" s="9">
        <f>ROW()-ROW($A$14)</f>
        <v>435</v>
      </c>
      <c r="B449" s="9" t="e">
        <f>IF(A449&lt;=$B$8,$B$6+(A449-1)*($B$7-$B$6)/MAX(1,$B$8-1),NA())</f>
        <v>#N/A</v>
      </c>
      <c r="C449" s="9" t="e">
        <f>RADIANS(B449)</f>
        <v>#N/A</v>
      </c>
      <c r="D449" s="9" t="e">
        <f>($B$3+$B$4)*COS(C449)-$B$4*COS((($B$3+$B$4)/$B$4)*C449)</f>
        <v>#N/A</v>
      </c>
      <c r="E449" s="9" t="e">
        <f>($B$3+$B$4)*SIN(C449)-$B$4*SIN((($B$3+$B$4)/$B$4)*C449)</f>
        <v>#N/A</v>
      </c>
      <c r="F449" s="5"/>
      <c r="G449" s="5"/>
      <c r="H449" s="5"/>
    </row>
    <row r="450" spans="1:8" x14ac:dyDescent="0.3">
      <c r="A450" s="9">
        <f>ROW()-ROW($A$14)</f>
        <v>436</v>
      </c>
      <c r="B450" s="9" t="e">
        <f>IF(A450&lt;=$B$8,$B$6+(A450-1)*($B$7-$B$6)/MAX(1,$B$8-1),NA())</f>
        <v>#N/A</v>
      </c>
      <c r="C450" s="9" t="e">
        <f>RADIANS(B450)</f>
        <v>#N/A</v>
      </c>
      <c r="D450" s="9" t="e">
        <f>($B$3+$B$4)*COS(C450)-$B$4*COS((($B$3+$B$4)/$B$4)*C450)</f>
        <v>#N/A</v>
      </c>
      <c r="E450" s="9" t="e">
        <f>($B$3+$B$4)*SIN(C450)-$B$4*SIN((($B$3+$B$4)/$B$4)*C450)</f>
        <v>#N/A</v>
      </c>
      <c r="F450" s="5"/>
      <c r="G450" s="5"/>
      <c r="H450" s="5"/>
    </row>
    <row r="451" spans="1:8" x14ac:dyDescent="0.3">
      <c r="A451" s="9">
        <f>ROW()-ROW($A$14)</f>
        <v>437</v>
      </c>
      <c r="B451" s="9" t="e">
        <f>IF(A451&lt;=$B$8,$B$6+(A451-1)*($B$7-$B$6)/MAX(1,$B$8-1),NA())</f>
        <v>#N/A</v>
      </c>
      <c r="C451" s="9" t="e">
        <f>RADIANS(B451)</f>
        <v>#N/A</v>
      </c>
      <c r="D451" s="9" t="e">
        <f>($B$3+$B$4)*COS(C451)-$B$4*COS((($B$3+$B$4)/$B$4)*C451)</f>
        <v>#N/A</v>
      </c>
      <c r="E451" s="9" t="e">
        <f>($B$3+$B$4)*SIN(C451)-$B$4*SIN((($B$3+$B$4)/$B$4)*C451)</f>
        <v>#N/A</v>
      </c>
      <c r="F451" s="5"/>
      <c r="G451" s="5"/>
      <c r="H451" s="5"/>
    </row>
    <row r="452" spans="1:8" x14ac:dyDescent="0.3">
      <c r="A452" s="9">
        <f>ROW()-ROW($A$14)</f>
        <v>438</v>
      </c>
      <c r="B452" s="9" t="e">
        <f>IF(A452&lt;=$B$8,$B$6+(A452-1)*($B$7-$B$6)/MAX(1,$B$8-1),NA())</f>
        <v>#N/A</v>
      </c>
      <c r="C452" s="9" t="e">
        <f>RADIANS(B452)</f>
        <v>#N/A</v>
      </c>
      <c r="D452" s="9" t="e">
        <f>($B$3+$B$4)*COS(C452)-$B$4*COS((($B$3+$B$4)/$B$4)*C452)</f>
        <v>#N/A</v>
      </c>
      <c r="E452" s="9" t="e">
        <f>($B$3+$B$4)*SIN(C452)-$B$4*SIN((($B$3+$B$4)/$B$4)*C452)</f>
        <v>#N/A</v>
      </c>
      <c r="F452" s="5"/>
      <c r="G452" s="5"/>
      <c r="H452" s="5"/>
    </row>
    <row r="453" spans="1:8" x14ac:dyDescent="0.3">
      <c r="A453" s="9">
        <f>ROW()-ROW($A$14)</f>
        <v>439</v>
      </c>
      <c r="B453" s="9" t="e">
        <f>IF(A453&lt;=$B$8,$B$6+(A453-1)*($B$7-$B$6)/MAX(1,$B$8-1),NA())</f>
        <v>#N/A</v>
      </c>
      <c r="C453" s="9" t="e">
        <f>RADIANS(B453)</f>
        <v>#N/A</v>
      </c>
      <c r="D453" s="9" t="e">
        <f>($B$3+$B$4)*COS(C453)-$B$4*COS((($B$3+$B$4)/$B$4)*C453)</f>
        <v>#N/A</v>
      </c>
      <c r="E453" s="9" t="e">
        <f>($B$3+$B$4)*SIN(C453)-$B$4*SIN((($B$3+$B$4)/$B$4)*C453)</f>
        <v>#N/A</v>
      </c>
      <c r="F453" s="5"/>
      <c r="G453" s="5"/>
      <c r="H453" s="5"/>
    </row>
    <row r="454" spans="1:8" x14ac:dyDescent="0.3">
      <c r="A454" s="9">
        <f>ROW()-ROW($A$14)</f>
        <v>440</v>
      </c>
      <c r="B454" s="9" t="e">
        <f>IF(A454&lt;=$B$8,$B$6+(A454-1)*($B$7-$B$6)/MAX(1,$B$8-1),NA())</f>
        <v>#N/A</v>
      </c>
      <c r="C454" s="9" t="e">
        <f>RADIANS(B454)</f>
        <v>#N/A</v>
      </c>
      <c r="D454" s="9" t="e">
        <f>($B$3+$B$4)*COS(C454)-$B$4*COS((($B$3+$B$4)/$B$4)*C454)</f>
        <v>#N/A</v>
      </c>
      <c r="E454" s="9" t="e">
        <f>($B$3+$B$4)*SIN(C454)-$B$4*SIN((($B$3+$B$4)/$B$4)*C454)</f>
        <v>#N/A</v>
      </c>
      <c r="F454" s="5"/>
      <c r="G454" s="5"/>
      <c r="H454" s="5"/>
    </row>
    <row r="455" spans="1:8" x14ac:dyDescent="0.3">
      <c r="A455" s="9">
        <f>ROW()-ROW($A$14)</f>
        <v>441</v>
      </c>
      <c r="B455" s="9" t="e">
        <f>IF(A455&lt;=$B$8,$B$6+(A455-1)*($B$7-$B$6)/MAX(1,$B$8-1),NA())</f>
        <v>#N/A</v>
      </c>
      <c r="C455" s="9" t="e">
        <f>RADIANS(B455)</f>
        <v>#N/A</v>
      </c>
      <c r="D455" s="9" t="e">
        <f>($B$3+$B$4)*COS(C455)-$B$4*COS((($B$3+$B$4)/$B$4)*C455)</f>
        <v>#N/A</v>
      </c>
      <c r="E455" s="9" t="e">
        <f>($B$3+$B$4)*SIN(C455)-$B$4*SIN((($B$3+$B$4)/$B$4)*C455)</f>
        <v>#N/A</v>
      </c>
      <c r="F455" s="5"/>
      <c r="G455" s="5"/>
      <c r="H455" s="5"/>
    </row>
    <row r="456" spans="1:8" x14ac:dyDescent="0.3">
      <c r="A456" s="9">
        <f>ROW()-ROW($A$14)</f>
        <v>442</v>
      </c>
      <c r="B456" s="9" t="e">
        <f>IF(A456&lt;=$B$8,$B$6+(A456-1)*($B$7-$B$6)/MAX(1,$B$8-1),NA())</f>
        <v>#N/A</v>
      </c>
      <c r="C456" s="9" t="e">
        <f>RADIANS(B456)</f>
        <v>#N/A</v>
      </c>
      <c r="D456" s="9" t="e">
        <f>($B$3+$B$4)*COS(C456)-$B$4*COS((($B$3+$B$4)/$B$4)*C456)</f>
        <v>#N/A</v>
      </c>
      <c r="E456" s="9" t="e">
        <f>($B$3+$B$4)*SIN(C456)-$B$4*SIN((($B$3+$B$4)/$B$4)*C456)</f>
        <v>#N/A</v>
      </c>
      <c r="F456" s="5"/>
      <c r="G456" s="5"/>
      <c r="H456" s="5"/>
    </row>
    <row r="457" spans="1:8" x14ac:dyDescent="0.3">
      <c r="A457" s="9">
        <f>ROW()-ROW($A$14)</f>
        <v>443</v>
      </c>
      <c r="B457" s="9" t="e">
        <f>IF(A457&lt;=$B$8,$B$6+(A457-1)*($B$7-$B$6)/MAX(1,$B$8-1),NA())</f>
        <v>#N/A</v>
      </c>
      <c r="C457" s="9" t="e">
        <f>RADIANS(B457)</f>
        <v>#N/A</v>
      </c>
      <c r="D457" s="9" t="e">
        <f>($B$3+$B$4)*COS(C457)-$B$4*COS((($B$3+$B$4)/$B$4)*C457)</f>
        <v>#N/A</v>
      </c>
      <c r="E457" s="9" t="e">
        <f>($B$3+$B$4)*SIN(C457)-$B$4*SIN((($B$3+$B$4)/$B$4)*C457)</f>
        <v>#N/A</v>
      </c>
      <c r="F457" s="5"/>
      <c r="G457" s="5"/>
      <c r="H457" s="5"/>
    </row>
    <row r="458" spans="1:8" x14ac:dyDescent="0.3">
      <c r="A458" s="9">
        <f>ROW()-ROW($A$14)</f>
        <v>444</v>
      </c>
      <c r="B458" s="9" t="e">
        <f>IF(A458&lt;=$B$8,$B$6+(A458-1)*($B$7-$B$6)/MAX(1,$B$8-1),NA())</f>
        <v>#N/A</v>
      </c>
      <c r="C458" s="9" t="e">
        <f>RADIANS(B458)</f>
        <v>#N/A</v>
      </c>
      <c r="D458" s="9" t="e">
        <f>($B$3+$B$4)*COS(C458)-$B$4*COS((($B$3+$B$4)/$B$4)*C458)</f>
        <v>#N/A</v>
      </c>
      <c r="E458" s="9" t="e">
        <f>($B$3+$B$4)*SIN(C458)-$B$4*SIN((($B$3+$B$4)/$B$4)*C458)</f>
        <v>#N/A</v>
      </c>
      <c r="F458" s="5"/>
      <c r="G458" s="5"/>
      <c r="H458" s="5"/>
    </row>
    <row r="459" spans="1:8" x14ac:dyDescent="0.3">
      <c r="A459" s="9">
        <f>ROW()-ROW($A$14)</f>
        <v>445</v>
      </c>
      <c r="B459" s="9" t="e">
        <f>IF(A459&lt;=$B$8,$B$6+(A459-1)*($B$7-$B$6)/MAX(1,$B$8-1),NA())</f>
        <v>#N/A</v>
      </c>
      <c r="C459" s="9" t="e">
        <f>RADIANS(B459)</f>
        <v>#N/A</v>
      </c>
      <c r="D459" s="9" t="e">
        <f>($B$3+$B$4)*COS(C459)-$B$4*COS((($B$3+$B$4)/$B$4)*C459)</f>
        <v>#N/A</v>
      </c>
      <c r="E459" s="9" t="e">
        <f>($B$3+$B$4)*SIN(C459)-$B$4*SIN((($B$3+$B$4)/$B$4)*C459)</f>
        <v>#N/A</v>
      </c>
      <c r="F459" s="5"/>
      <c r="G459" s="5"/>
      <c r="H459" s="5"/>
    </row>
    <row r="460" spans="1:8" x14ac:dyDescent="0.3">
      <c r="A460" s="9">
        <f>ROW()-ROW($A$14)</f>
        <v>446</v>
      </c>
      <c r="B460" s="9" t="e">
        <f>IF(A460&lt;=$B$8,$B$6+(A460-1)*($B$7-$B$6)/MAX(1,$B$8-1),NA())</f>
        <v>#N/A</v>
      </c>
      <c r="C460" s="9" t="e">
        <f>RADIANS(B460)</f>
        <v>#N/A</v>
      </c>
      <c r="D460" s="9" t="e">
        <f>($B$3+$B$4)*COS(C460)-$B$4*COS((($B$3+$B$4)/$B$4)*C460)</f>
        <v>#N/A</v>
      </c>
      <c r="E460" s="9" t="e">
        <f>($B$3+$B$4)*SIN(C460)-$B$4*SIN((($B$3+$B$4)/$B$4)*C460)</f>
        <v>#N/A</v>
      </c>
      <c r="F460" s="5"/>
      <c r="G460" s="5"/>
      <c r="H460" s="5"/>
    </row>
    <row r="461" spans="1:8" x14ac:dyDescent="0.3">
      <c r="A461" s="9">
        <f>ROW()-ROW($A$14)</f>
        <v>447</v>
      </c>
      <c r="B461" s="9" t="e">
        <f>IF(A461&lt;=$B$8,$B$6+(A461-1)*($B$7-$B$6)/MAX(1,$B$8-1),NA())</f>
        <v>#N/A</v>
      </c>
      <c r="C461" s="9" t="e">
        <f>RADIANS(B461)</f>
        <v>#N/A</v>
      </c>
      <c r="D461" s="9" t="e">
        <f>($B$3+$B$4)*COS(C461)-$B$4*COS((($B$3+$B$4)/$B$4)*C461)</f>
        <v>#N/A</v>
      </c>
      <c r="E461" s="9" t="e">
        <f>($B$3+$B$4)*SIN(C461)-$B$4*SIN((($B$3+$B$4)/$B$4)*C461)</f>
        <v>#N/A</v>
      </c>
      <c r="F461" s="5"/>
      <c r="G461" s="5"/>
      <c r="H461" s="5"/>
    </row>
    <row r="462" spans="1:8" x14ac:dyDescent="0.3">
      <c r="A462" s="9">
        <f>ROW()-ROW($A$14)</f>
        <v>448</v>
      </c>
      <c r="B462" s="9" t="e">
        <f>IF(A462&lt;=$B$8,$B$6+(A462-1)*($B$7-$B$6)/MAX(1,$B$8-1),NA())</f>
        <v>#N/A</v>
      </c>
      <c r="C462" s="9" t="e">
        <f>RADIANS(B462)</f>
        <v>#N/A</v>
      </c>
      <c r="D462" s="9" t="e">
        <f>($B$3+$B$4)*COS(C462)-$B$4*COS((($B$3+$B$4)/$B$4)*C462)</f>
        <v>#N/A</v>
      </c>
      <c r="E462" s="9" t="e">
        <f>($B$3+$B$4)*SIN(C462)-$B$4*SIN((($B$3+$B$4)/$B$4)*C462)</f>
        <v>#N/A</v>
      </c>
      <c r="F462" s="5"/>
      <c r="G462" s="5"/>
      <c r="H462" s="5"/>
    </row>
    <row r="463" spans="1:8" x14ac:dyDescent="0.3">
      <c r="A463" s="9">
        <f>ROW()-ROW($A$14)</f>
        <v>449</v>
      </c>
      <c r="B463" s="9" t="e">
        <f>IF(A463&lt;=$B$8,$B$6+(A463-1)*($B$7-$B$6)/MAX(1,$B$8-1),NA())</f>
        <v>#N/A</v>
      </c>
      <c r="C463" s="9" t="e">
        <f>RADIANS(B463)</f>
        <v>#N/A</v>
      </c>
      <c r="D463" s="9" t="e">
        <f>($B$3+$B$4)*COS(C463)-$B$4*COS((($B$3+$B$4)/$B$4)*C463)</f>
        <v>#N/A</v>
      </c>
      <c r="E463" s="9" t="e">
        <f>($B$3+$B$4)*SIN(C463)-$B$4*SIN((($B$3+$B$4)/$B$4)*C463)</f>
        <v>#N/A</v>
      </c>
      <c r="F463" s="5"/>
      <c r="G463" s="5"/>
      <c r="H463" s="5"/>
    </row>
    <row r="464" spans="1:8" x14ac:dyDescent="0.3">
      <c r="A464" s="9">
        <f>ROW()-ROW($A$14)</f>
        <v>450</v>
      </c>
      <c r="B464" s="9" t="e">
        <f>IF(A464&lt;=$B$8,$B$6+(A464-1)*($B$7-$B$6)/MAX(1,$B$8-1),NA())</f>
        <v>#N/A</v>
      </c>
      <c r="C464" s="9" t="e">
        <f>RADIANS(B464)</f>
        <v>#N/A</v>
      </c>
      <c r="D464" s="9" t="e">
        <f>($B$3+$B$4)*COS(C464)-$B$4*COS((($B$3+$B$4)/$B$4)*C464)</f>
        <v>#N/A</v>
      </c>
      <c r="E464" s="9" t="e">
        <f>($B$3+$B$4)*SIN(C464)-$B$4*SIN((($B$3+$B$4)/$B$4)*C464)</f>
        <v>#N/A</v>
      </c>
      <c r="F464" s="5"/>
      <c r="G464" s="5"/>
      <c r="H464" s="5"/>
    </row>
    <row r="465" spans="1:8" x14ac:dyDescent="0.3">
      <c r="A465" s="9">
        <f>ROW()-ROW($A$14)</f>
        <v>451</v>
      </c>
      <c r="B465" s="9" t="e">
        <f>IF(A465&lt;=$B$8,$B$6+(A465-1)*($B$7-$B$6)/MAX(1,$B$8-1),NA())</f>
        <v>#N/A</v>
      </c>
      <c r="C465" s="9" t="e">
        <f>RADIANS(B465)</f>
        <v>#N/A</v>
      </c>
      <c r="D465" s="9" t="e">
        <f>($B$3+$B$4)*COS(C465)-$B$4*COS((($B$3+$B$4)/$B$4)*C465)</f>
        <v>#N/A</v>
      </c>
      <c r="E465" s="9" t="e">
        <f>($B$3+$B$4)*SIN(C465)-$B$4*SIN((($B$3+$B$4)/$B$4)*C465)</f>
        <v>#N/A</v>
      </c>
      <c r="F465" s="5"/>
      <c r="G465" s="5"/>
      <c r="H465" s="5"/>
    </row>
    <row r="466" spans="1:8" x14ac:dyDescent="0.3">
      <c r="A466" s="9">
        <f>ROW()-ROW($A$14)</f>
        <v>452</v>
      </c>
      <c r="B466" s="9" t="e">
        <f>IF(A466&lt;=$B$8,$B$6+(A466-1)*($B$7-$B$6)/MAX(1,$B$8-1),NA())</f>
        <v>#N/A</v>
      </c>
      <c r="C466" s="9" t="e">
        <f>RADIANS(B466)</f>
        <v>#N/A</v>
      </c>
      <c r="D466" s="9" t="e">
        <f>($B$3+$B$4)*COS(C466)-$B$4*COS((($B$3+$B$4)/$B$4)*C466)</f>
        <v>#N/A</v>
      </c>
      <c r="E466" s="9" t="e">
        <f>($B$3+$B$4)*SIN(C466)-$B$4*SIN((($B$3+$B$4)/$B$4)*C466)</f>
        <v>#N/A</v>
      </c>
      <c r="F466" s="5"/>
      <c r="G466" s="5"/>
      <c r="H466" s="5"/>
    </row>
    <row r="467" spans="1:8" x14ac:dyDescent="0.3">
      <c r="A467" s="9">
        <f>ROW()-ROW($A$14)</f>
        <v>453</v>
      </c>
      <c r="B467" s="9" t="e">
        <f>IF(A467&lt;=$B$8,$B$6+(A467-1)*($B$7-$B$6)/MAX(1,$B$8-1),NA())</f>
        <v>#N/A</v>
      </c>
      <c r="C467" s="9" t="e">
        <f>RADIANS(B467)</f>
        <v>#N/A</v>
      </c>
      <c r="D467" s="9" t="e">
        <f>($B$3+$B$4)*COS(C467)-$B$4*COS((($B$3+$B$4)/$B$4)*C467)</f>
        <v>#N/A</v>
      </c>
      <c r="E467" s="9" t="e">
        <f>($B$3+$B$4)*SIN(C467)-$B$4*SIN((($B$3+$B$4)/$B$4)*C467)</f>
        <v>#N/A</v>
      </c>
      <c r="F467" s="5"/>
      <c r="G467" s="5"/>
      <c r="H467" s="5"/>
    </row>
    <row r="468" spans="1:8" x14ac:dyDescent="0.3">
      <c r="A468" s="9">
        <f>ROW()-ROW($A$14)</f>
        <v>454</v>
      </c>
      <c r="B468" s="9" t="e">
        <f>IF(A468&lt;=$B$8,$B$6+(A468-1)*($B$7-$B$6)/MAX(1,$B$8-1),NA())</f>
        <v>#N/A</v>
      </c>
      <c r="C468" s="9" t="e">
        <f>RADIANS(B468)</f>
        <v>#N/A</v>
      </c>
      <c r="D468" s="9" t="e">
        <f>($B$3+$B$4)*COS(C468)-$B$4*COS((($B$3+$B$4)/$B$4)*C468)</f>
        <v>#N/A</v>
      </c>
      <c r="E468" s="9" t="e">
        <f>($B$3+$B$4)*SIN(C468)-$B$4*SIN((($B$3+$B$4)/$B$4)*C468)</f>
        <v>#N/A</v>
      </c>
      <c r="F468" s="5"/>
      <c r="G468" s="5"/>
      <c r="H468" s="5"/>
    </row>
    <row r="469" spans="1:8" x14ac:dyDescent="0.3">
      <c r="A469" s="9">
        <f>ROW()-ROW($A$14)</f>
        <v>455</v>
      </c>
      <c r="B469" s="9" t="e">
        <f>IF(A469&lt;=$B$8,$B$6+(A469-1)*($B$7-$B$6)/MAX(1,$B$8-1),NA())</f>
        <v>#N/A</v>
      </c>
      <c r="C469" s="9" t="e">
        <f>RADIANS(B469)</f>
        <v>#N/A</v>
      </c>
      <c r="D469" s="9" t="e">
        <f>($B$3+$B$4)*COS(C469)-$B$4*COS((($B$3+$B$4)/$B$4)*C469)</f>
        <v>#N/A</v>
      </c>
      <c r="E469" s="9" t="e">
        <f>($B$3+$B$4)*SIN(C469)-$B$4*SIN((($B$3+$B$4)/$B$4)*C469)</f>
        <v>#N/A</v>
      </c>
      <c r="F469" s="5"/>
      <c r="G469" s="5"/>
      <c r="H469" s="5"/>
    </row>
    <row r="470" spans="1:8" x14ac:dyDescent="0.3">
      <c r="A470" s="9">
        <f>ROW()-ROW($A$14)</f>
        <v>456</v>
      </c>
      <c r="B470" s="9" t="e">
        <f>IF(A470&lt;=$B$8,$B$6+(A470-1)*($B$7-$B$6)/MAX(1,$B$8-1),NA())</f>
        <v>#N/A</v>
      </c>
      <c r="C470" s="9" t="e">
        <f>RADIANS(B470)</f>
        <v>#N/A</v>
      </c>
      <c r="D470" s="9" t="e">
        <f>($B$3+$B$4)*COS(C470)-$B$4*COS((($B$3+$B$4)/$B$4)*C470)</f>
        <v>#N/A</v>
      </c>
      <c r="E470" s="9" t="e">
        <f>($B$3+$B$4)*SIN(C470)-$B$4*SIN((($B$3+$B$4)/$B$4)*C470)</f>
        <v>#N/A</v>
      </c>
      <c r="F470" s="5"/>
      <c r="G470" s="5"/>
      <c r="H470" s="5"/>
    </row>
    <row r="471" spans="1:8" x14ac:dyDescent="0.3">
      <c r="A471" s="9">
        <f>ROW()-ROW($A$14)</f>
        <v>457</v>
      </c>
      <c r="B471" s="9" t="e">
        <f>IF(A471&lt;=$B$8,$B$6+(A471-1)*($B$7-$B$6)/MAX(1,$B$8-1),NA())</f>
        <v>#N/A</v>
      </c>
      <c r="C471" s="9" t="e">
        <f>RADIANS(B471)</f>
        <v>#N/A</v>
      </c>
      <c r="D471" s="9" t="e">
        <f>($B$3+$B$4)*COS(C471)-$B$4*COS((($B$3+$B$4)/$B$4)*C471)</f>
        <v>#N/A</v>
      </c>
      <c r="E471" s="9" t="e">
        <f>($B$3+$B$4)*SIN(C471)-$B$4*SIN((($B$3+$B$4)/$B$4)*C471)</f>
        <v>#N/A</v>
      </c>
      <c r="F471" s="5"/>
      <c r="G471" s="5"/>
      <c r="H471" s="5"/>
    </row>
    <row r="472" spans="1:8" x14ac:dyDescent="0.3">
      <c r="A472" s="9">
        <f>ROW()-ROW($A$14)</f>
        <v>458</v>
      </c>
      <c r="B472" s="9" t="e">
        <f>IF(A472&lt;=$B$8,$B$6+(A472-1)*($B$7-$B$6)/MAX(1,$B$8-1),NA())</f>
        <v>#N/A</v>
      </c>
      <c r="C472" s="9" t="e">
        <f>RADIANS(B472)</f>
        <v>#N/A</v>
      </c>
      <c r="D472" s="9" t="e">
        <f>($B$3+$B$4)*COS(C472)-$B$4*COS((($B$3+$B$4)/$B$4)*C472)</f>
        <v>#N/A</v>
      </c>
      <c r="E472" s="9" t="e">
        <f>($B$3+$B$4)*SIN(C472)-$B$4*SIN((($B$3+$B$4)/$B$4)*C472)</f>
        <v>#N/A</v>
      </c>
      <c r="F472" s="5"/>
      <c r="G472" s="5"/>
      <c r="H472" s="5"/>
    </row>
    <row r="473" spans="1:8" x14ac:dyDescent="0.3">
      <c r="A473" s="9">
        <f>ROW()-ROW($A$14)</f>
        <v>459</v>
      </c>
      <c r="B473" s="9" t="e">
        <f>IF(A473&lt;=$B$8,$B$6+(A473-1)*($B$7-$B$6)/MAX(1,$B$8-1),NA())</f>
        <v>#N/A</v>
      </c>
      <c r="C473" s="9" t="e">
        <f>RADIANS(B473)</f>
        <v>#N/A</v>
      </c>
      <c r="D473" s="9" t="e">
        <f>($B$3+$B$4)*COS(C473)-$B$4*COS((($B$3+$B$4)/$B$4)*C473)</f>
        <v>#N/A</v>
      </c>
      <c r="E473" s="9" t="e">
        <f>($B$3+$B$4)*SIN(C473)-$B$4*SIN((($B$3+$B$4)/$B$4)*C473)</f>
        <v>#N/A</v>
      </c>
      <c r="F473" s="5"/>
      <c r="G473" s="5"/>
      <c r="H473" s="5"/>
    </row>
    <row r="474" spans="1:8" x14ac:dyDescent="0.3">
      <c r="A474" s="9">
        <f>ROW()-ROW($A$14)</f>
        <v>460</v>
      </c>
      <c r="B474" s="9" t="e">
        <f>IF(A474&lt;=$B$8,$B$6+(A474-1)*($B$7-$B$6)/MAX(1,$B$8-1),NA())</f>
        <v>#N/A</v>
      </c>
      <c r="C474" s="9" t="e">
        <f>RADIANS(B474)</f>
        <v>#N/A</v>
      </c>
      <c r="D474" s="9" t="e">
        <f>($B$3+$B$4)*COS(C474)-$B$4*COS((($B$3+$B$4)/$B$4)*C474)</f>
        <v>#N/A</v>
      </c>
      <c r="E474" s="9" t="e">
        <f>($B$3+$B$4)*SIN(C474)-$B$4*SIN((($B$3+$B$4)/$B$4)*C474)</f>
        <v>#N/A</v>
      </c>
      <c r="F474" s="5"/>
      <c r="G474" s="5"/>
      <c r="H474" s="5"/>
    </row>
    <row r="475" spans="1:8" x14ac:dyDescent="0.3">
      <c r="A475" s="9">
        <f>ROW()-ROW($A$14)</f>
        <v>461</v>
      </c>
      <c r="B475" s="9" t="e">
        <f>IF(A475&lt;=$B$8,$B$6+(A475-1)*($B$7-$B$6)/MAX(1,$B$8-1),NA())</f>
        <v>#N/A</v>
      </c>
      <c r="C475" s="9" t="e">
        <f>RADIANS(B475)</f>
        <v>#N/A</v>
      </c>
      <c r="D475" s="9" t="e">
        <f>($B$3+$B$4)*COS(C475)-$B$4*COS((($B$3+$B$4)/$B$4)*C475)</f>
        <v>#N/A</v>
      </c>
      <c r="E475" s="9" t="e">
        <f>($B$3+$B$4)*SIN(C475)-$B$4*SIN((($B$3+$B$4)/$B$4)*C475)</f>
        <v>#N/A</v>
      </c>
      <c r="F475" s="5"/>
      <c r="G475" s="5"/>
      <c r="H475" s="5"/>
    </row>
    <row r="476" spans="1:8" x14ac:dyDescent="0.3">
      <c r="A476" s="9">
        <f>ROW()-ROW($A$14)</f>
        <v>462</v>
      </c>
      <c r="B476" s="9" t="e">
        <f>IF(A476&lt;=$B$8,$B$6+(A476-1)*($B$7-$B$6)/MAX(1,$B$8-1),NA())</f>
        <v>#N/A</v>
      </c>
      <c r="C476" s="9" t="e">
        <f>RADIANS(B476)</f>
        <v>#N/A</v>
      </c>
      <c r="D476" s="9" t="e">
        <f>($B$3+$B$4)*COS(C476)-$B$4*COS((($B$3+$B$4)/$B$4)*C476)</f>
        <v>#N/A</v>
      </c>
      <c r="E476" s="9" t="e">
        <f>($B$3+$B$4)*SIN(C476)-$B$4*SIN((($B$3+$B$4)/$B$4)*C476)</f>
        <v>#N/A</v>
      </c>
      <c r="F476" s="5"/>
      <c r="G476" s="5"/>
      <c r="H476" s="5"/>
    </row>
    <row r="477" spans="1:8" x14ac:dyDescent="0.3">
      <c r="A477" s="9">
        <f>ROW()-ROW($A$14)</f>
        <v>463</v>
      </c>
      <c r="B477" s="9" t="e">
        <f>IF(A477&lt;=$B$8,$B$6+(A477-1)*($B$7-$B$6)/MAX(1,$B$8-1),NA())</f>
        <v>#N/A</v>
      </c>
      <c r="C477" s="9" t="e">
        <f>RADIANS(B477)</f>
        <v>#N/A</v>
      </c>
      <c r="D477" s="9" t="e">
        <f>($B$3+$B$4)*COS(C477)-$B$4*COS((($B$3+$B$4)/$B$4)*C477)</f>
        <v>#N/A</v>
      </c>
      <c r="E477" s="9" t="e">
        <f>($B$3+$B$4)*SIN(C477)-$B$4*SIN((($B$3+$B$4)/$B$4)*C477)</f>
        <v>#N/A</v>
      </c>
      <c r="F477" s="5"/>
      <c r="G477" s="5"/>
      <c r="H477" s="5"/>
    </row>
    <row r="478" spans="1:8" x14ac:dyDescent="0.3">
      <c r="A478" s="9">
        <f>ROW()-ROW($A$14)</f>
        <v>464</v>
      </c>
      <c r="B478" s="9" t="e">
        <f>IF(A478&lt;=$B$8,$B$6+(A478-1)*($B$7-$B$6)/MAX(1,$B$8-1),NA())</f>
        <v>#N/A</v>
      </c>
      <c r="C478" s="9" t="e">
        <f>RADIANS(B478)</f>
        <v>#N/A</v>
      </c>
      <c r="D478" s="9" t="e">
        <f>($B$3+$B$4)*COS(C478)-$B$4*COS((($B$3+$B$4)/$B$4)*C478)</f>
        <v>#N/A</v>
      </c>
      <c r="E478" s="9" t="e">
        <f>($B$3+$B$4)*SIN(C478)-$B$4*SIN((($B$3+$B$4)/$B$4)*C478)</f>
        <v>#N/A</v>
      </c>
      <c r="F478" s="5"/>
      <c r="G478" s="5"/>
      <c r="H478" s="5"/>
    </row>
    <row r="479" spans="1:8" x14ac:dyDescent="0.3">
      <c r="A479" s="9">
        <f>ROW()-ROW($A$14)</f>
        <v>465</v>
      </c>
      <c r="B479" s="9" t="e">
        <f>IF(A479&lt;=$B$8,$B$6+(A479-1)*($B$7-$B$6)/MAX(1,$B$8-1),NA())</f>
        <v>#N/A</v>
      </c>
      <c r="C479" s="9" t="e">
        <f>RADIANS(B479)</f>
        <v>#N/A</v>
      </c>
      <c r="D479" s="9" t="e">
        <f>($B$3+$B$4)*COS(C479)-$B$4*COS((($B$3+$B$4)/$B$4)*C479)</f>
        <v>#N/A</v>
      </c>
      <c r="E479" s="9" t="e">
        <f>($B$3+$B$4)*SIN(C479)-$B$4*SIN((($B$3+$B$4)/$B$4)*C479)</f>
        <v>#N/A</v>
      </c>
      <c r="F479" s="5"/>
      <c r="G479" s="5"/>
      <c r="H479" s="5"/>
    </row>
    <row r="480" spans="1:8" x14ac:dyDescent="0.3">
      <c r="A480" s="9">
        <f>ROW()-ROW($A$14)</f>
        <v>466</v>
      </c>
      <c r="B480" s="9" t="e">
        <f>IF(A480&lt;=$B$8,$B$6+(A480-1)*($B$7-$B$6)/MAX(1,$B$8-1),NA())</f>
        <v>#N/A</v>
      </c>
      <c r="C480" s="9" t="e">
        <f>RADIANS(B480)</f>
        <v>#N/A</v>
      </c>
      <c r="D480" s="9" t="e">
        <f>($B$3+$B$4)*COS(C480)-$B$4*COS((($B$3+$B$4)/$B$4)*C480)</f>
        <v>#N/A</v>
      </c>
      <c r="E480" s="9" t="e">
        <f>($B$3+$B$4)*SIN(C480)-$B$4*SIN((($B$3+$B$4)/$B$4)*C480)</f>
        <v>#N/A</v>
      </c>
      <c r="F480" s="5"/>
      <c r="G480" s="5"/>
      <c r="H480" s="5"/>
    </row>
    <row r="481" spans="1:8" x14ac:dyDescent="0.3">
      <c r="A481" s="9">
        <f>ROW()-ROW($A$14)</f>
        <v>467</v>
      </c>
      <c r="B481" s="9" t="e">
        <f>IF(A481&lt;=$B$8,$B$6+(A481-1)*($B$7-$B$6)/MAX(1,$B$8-1),NA())</f>
        <v>#N/A</v>
      </c>
      <c r="C481" s="9" t="e">
        <f>RADIANS(B481)</f>
        <v>#N/A</v>
      </c>
      <c r="D481" s="9" t="e">
        <f>($B$3+$B$4)*COS(C481)-$B$4*COS((($B$3+$B$4)/$B$4)*C481)</f>
        <v>#N/A</v>
      </c>
      <c r="E481" s="9" t="e">
        <f>($B$3+$B$4)*SIN(C481)-$B$4*SIN((($B$3+$B$4)/$B$4)*C481)</f>
        <v>#N/A</v>
      </c>
      <c r="F481" s="5"/>
      <c r="G481" s="5"/>
      <c r="H481" s="5"/>
    </row>
    <row r="482" spans="1:8" x14ac:dyDescent="0.3">
      <c r="A482" s="9">
        <f>ROW()-ROW($A$14)</f>
        <v>468</v>
      </c>
      <c r="B482" s="9" t="e">
        <f>IF(A482&lt;=$B$8,$B$6+(A482-1)*($B$7-$B$6)/MAX(1,$B$8-1),NA())</f>
        <v>#N/A</v>
      </c>
      <c r="C482" s="9" t="e">
        <f>RADIANS(B482)</f>
        <v>#N/A</v>
      </c>
      <c r="D482" s="9" t="e">
        <f>($B$3+$B$4)*COS(C482)-$B$4*COS((($B$3+$B$4)/$B$4)*C482)</f>
        <v>#N/A</v>
      </c>
      <c r="E482" s="9" t="e">
        <f>($B$3+$B$4)*SIN(C482)-$B$4*SIN((($B$3+$B$4)/$B$4)*C482)</f>
        <v>#N/A</v>
      </c>
      <c r="F482" s="5"/>
      <c r="G482" s="5"/>
      <c r="H482" s="5"/>
    </row>
    <row r="483" spans="1:8" x14ac:dyDescent="0.3">
      <c r="A483" s="9">
        <f>ROW()-ROW($A$14)</f>
        <v>469</v>
      </c>
      <c r="B483" s="9" t="e">
        <f>IF(A483&lt;=$B$8,$B$6+(A483-1)*($B$7-$B$6)/MAX(1,$B$8-1),NA())</f>
        <v>#N/A</v>
      </c>
      <c r="C483" s="9" t="e">
        <f>RADIANS(B483)</f>
        <v>#N/A</v>
      </c>
      <c r="D483" s="9" t="e">
        <f>($B$3+$B$4)*COS(C483)-$B$4*COS((($B$3+$B$4)/$B$4)*C483)</f>
        <v>#N/A</v>
      </c>
      <c r="E483" s="9" t="e">
        <f>($B$3+$B$4)*SIN(C483)-$B$4*SIN((($B$3+$B$4)/$B$4)*C483)</f>
        <v>#N/A</v>
      </c>
      <c r="F483" s="5"/>
      <c r="G483" s="5"/>
      <c r="H483" s="5"/>
    </row>
    <row r="484" spans="1:8" x14ac:dyDescent="0.3">
      <c r="A484" s="9">
        <f>ROW()-ROW($A$14)</f>
        <v>470</v>
      </c>
      <c r="B484" s="9" t="e">
        <f>IF(A484&lt;=$B$8,$B$6+(A484-1)*($B$7-$B$6)/MAX(1,$B$8-1),NA())</f>
        <v>#N/A</v>
      </c>
      <c r="C484" s="9" t="e">
        <f>RADIANS(B484)</f>
        <v>#N/A</v>
      </c>
      <c r="D484" s="9" t="e">
        <f>($B$3+$B$4)*COS(C484)-$B$4*COS((($B$3+$B$4)/$B$4)*C484)</f>
        <v>#N/A</v>
      </c>
      <c r="E484" s="9" t="e">
        <f>($B$3+$B$4)*SIN(C484)-$B$4*SIN((($B$3+$B$4)/$B$4)*C484)</f>
        <v>#N/A</v>
      </c>
      <c r="F484" s="5"/>
      <c r="G484" s="5"/>
      <c r="H484" s="5"/>
    </row>
    <row r="485" spans="1:8" x14ac:dyDescent="0.3">
      <c r="A485" s="9">
        <f>ROW()-ROW($A$14)</f>
        <v>471</v>
      </c>
      <c r="B485" s="9" t="e">
        <f>IF(A485&lt;=$B$8,$B$6+(A485-1)*($B$7-$B$6)/MAX(1,$B$8-1),NA())</f>
        <v>#N/A</v>
      </c>
      <c r="C485" s="9" t="e">
        <f>RADIANS(B485)</f>
        <v>#N/A</v>
      </c>
      <c r="D485" s="9" t="e">
        <f>($B$3+$B$4)*COS(C485)-$B$4*COS((($B$3+$B$4)/$B$4)*C485)</f>
        <v>#N/A</v>
      </c>
      <c r="E485" s="9" t="e">
        <f>($B$3+$B$4)*SIN(C485)-$B$4*SIN((($B$3+$B$4)/$B$4)*C485)</f>
        <v>#N/A</v>
      </c>
      <c r="F485" s="5"/>
      <c r="G485" s="5"/>
      <c r="H485" s="5"/>
    </row>
    <row r="486" spans="1:8" x14ac:dyDescent="0.3">
      <c r="A486" s="9">
        <f>ROW()-ROW($A$14)</f>
        <v>472</v>
      </c>
      <c r="B486" s="9" t="e">
        <f>IF(A486&lt;=$B$8,$B$6+(A486-1)*($B$7-$B$6)/MAX(1,$B$8-1),NA())</f>
        <v>#N/A</v>
      </c>
      <c r="C486" s="9" t="e">
        <f>RADIANS(B486)</f>
        <v>#N/A</v>
      </c>
      <c r="D486" s="9" t="e">
        <f>($B$3+$B$4)*COS(C486)-$B$4*COS((($B$3+$B$4)/$B$4)*C486)</f>
        <v>#N/A</v>
      </c>
      <c r="E486" s="9" t="e">
        <f>($B$3+$B$4)*SIN(C486)-$B$4*SIN((($B$3+$B$4)/$B$4)*C486)</f>
        <v>#N/A</v>
      </c>
      <c r="F486" s="5"/>
      <c r="G486" s="5"/>
      <c r="H486" s="5"/>
    </row>
    <row r="487" spans="1:8" x14ac:dyDescent="0.3">
      <c r="A487" s="9">
        <f>ROW()-ROW($A$14)</f>
        <v>473</v>
      </c>
      <c r="B487" s="9" t="e">
        <f>IF(A487&lt;=$B$8,$B$6+(A487-1)*($B$7-$B$6)/MAX(1,$B$8-1),NA())</f>
        <v>#N/A</v>
      </c>
      <c r="C487" s="9" t="e">
        <f>RADIANS(B487)</f>
        <v>#N/A</v>
      </c>
      <c r="D487" s="9" t="e">
        <f>($B$3+$B$4)*COS(C487)-$B$4*COS((($B$3+$B$4)/$B$4)*C487)</f>
        <v>#N/A</v>
      </c>
      <c r="E487" s="9" t="e">
        <f>($B$3+$B$4)*SIN(C487)-$B$4*SIN((($B$3+$B$4)/$B$4)*C487)</f>
        <v>#N/A</v>
      </c>
      <c r="F487" s="5"/>
      <c r="G487" s="5"/>
      <c r="H487" s="5"/>
    </row>
    <row r="488" spans="1:8" x14ac:dyDescent="0.3">
      <c r="A488" s="9">
        <f>ROW()-ROW($A$14)</f>
        <v>474</v>
      </c>
      <c r="B488" s="9" t="e">
        <f>IF(A488&lt;=$B$8,$B$6+(A488-1)*($B$7-$B$6)/MAX(1,$B$8-1),NA())</f>
        <v>#N/A</v>
      </c>
      <c r="C488" s="9" t="e">
        <f>RADIANS(B488)</f>
        <v>#N/A</v>
      </c>
      <c r="D488" s="9" t="e">
        <f>($B$3+$B$4)*COS(C488)-$B$4*COS((($B$3+$B$4)/$B$4)*C488)</f>
        <v>#N/A</v>
      </c>
      <c r="E488" s="9" t="e">
        <f>($B$3+$B$4)*SIN(C488)-$B$4*SIN((($B$3+$B$4)/$B$4)*C488)</f>
        <v>#N/A</v>
      </c>
      <c r="F488" s="5"/>
      <c r="G488" s="5"/>
      <c r="H488" s="5"/>
    </row>
    <row r="489" spans="1:8" x14ac:dyDescent="0.3">
      <c r="A489" s="9">
        <f>ROW()-ROW($A$14)</f>
        <v>475</v>
      </c>
      <c r="B489" s="9" t="e">
        <f>IF(A489&lt;=$B$8,$B$6+(A489-1)*($B$7-$B$6)/MAX(1,$B$8-1),NA())</f>
        <v>#N/A</v>
      </c>
      <c r="C489" s="9" t="e">
        <f>RADIANS(B489)</f>
        <v>#N/A</v>
      </c>
      <c r="D489" s="9" t="e">
        <f>($B$3+$B$4)*COS(C489)-$B$4*COS((($B$3+$B$4)/$B$4)*C489)</f>
        <v>#N/A</v>
      </c>
      <c r="E489" s="9" t="e">
        <f>($B$3+$B$4)*SIN(C489)-$B$4*SIN((($B$3+$B$4)/$B$4)*C489)</f>
        <v>#N/A</v>
      </c>
      <c r="F489" s="5"/>
      <c r="G489" s="5"/>
      <c r="H489" s="5"/>
    </row>
    <row r="490" spans="1:8" x14ac:dyDescent="0.3">
      <c r="A490" s="9">
        <f>ROW()-ROW($A$14)</f>
        <v>476</v>
      </c>
      <c r="B490" s="9" t="e">
        <f>IF(A490&lt;=$B$8,$B$6+(A490-1)*($B$7-$B$6)/MAX(1,$B$8-1),NA())</f>
        <v>#N/A</v>
      </c>
      <c r="C490" s="9" t="e">
        <f>RADIANS(B490)</f>
        <v>#N/A</v>
      </c>
      <c r="D490" s="9" t="e">
        <f>($B$3+$B$4)*COS(C490)-$B$4*COS((($B$3+$B$4)/$B$4)*C490)</f>
        <v>#N/A</v>
      </c>
      <c r="E490" s="9" t="e">
        <f>($B$3+$B$4)*SIN(C490)-$B$4*SIN((($B$3+$B$4)/$B$4)*C490)</f>
        <v>#N/A</v>
      </c>
      <c r="F490" s="5"/>
      <c r="G490" s="5"/>
      <c r="H490" s="5"/>
    </row>
    <row r="491" spans="1:8" x14ac:dyDescent="0.3">
      <c r="A491" s="9">
        <f>ROW()-ROW($A$14)</f>
        <v>477</v>
      </c>
      <c r="B491" s="9" t="e">
        <f>IF(A491&lt;=$B$8,$B$6+(A491-1)*($B$7-$B$6)/MAX(1,$B$8-1),NA())</f>
        <v>#N/A</v>
      </c>
      <c r="C491" s="9" t="e">
        <f>RADIANS(B491)</f>
        <v>#N/A</v>
      </c>
      <c r="D491" s="9" t="e">
        <f>($B$3+$B$4)*COS(C491)-$B$4*COS((($B$3+$B$4)/$B$4)*C491)</f>
        <v>#N/A</v>
      </c>
      <c r="E491" s="9" t="e">
        <f>($B$3+$B$4)*SIN(C491)-$B$4*SIN((($B$3+$B$4)/$B$4)*C491)</f>
        <v>#N/A</v>
      </c>
      <c r="F491" s="5"/>
      <c r="G491" s="5"/>
      <c r="H491" s="5"/>
    </row>
    <row r="492" spans="1:8" x14ac:dyDescent="0.3">
      <c r="A492" s="9">
        <f>ROW()-ROW($A$14)</f>
        <v>478</v>
      </c>
      <c r="B492" s="9" t="e">
        <f>IF(A492&lt;=$B$8,$B$6+(A492-1)*($B$7-$B$6)/MAX(1,$B$8-1),NA())</f>
        <v>#N/A</v>
      </c>
      <c r="C492" s="9" t="e">
        <f>RADIANS(B492)</f>
        <v>#N/A</v>
      </c>
      <c r="D492" s="9" t="e">
        <f>($B$3+$B$4)*COS(C492)-$B$4*COS((($B$3+$B$4)/$B$4)*C492)</f>
        <v>#N/A</v>
      </c>
      <c r="E492" s="9" t="e">
        <f>($B$3+$B$4)*SIN(C492)-$B$4*SIN((($B$3+$B$4)/$B$4)*C492)</f>
        <v>#N/A</v>
      </c>
      <c r="F492" s="5"/>
      <c r="G492" s="5"/>
      <c r="H492" s="5"/>
    </row>
    <row r="493" spans="1:8" x14ac:dyDescent="0.3">
      <c r="A493" s="9">
        <f>ROW()-ROW($A$14)</f>
        <v>479</v>
      </c>
      <c r="B493" s="9" t="e">
        <f>IF(A493&lt;=$B$8,$B$6+(A493-1)*($B$7-$B$6)/MAX(1,$B$8-1),NA())</f>
        <v>#N/A</v>
      </c>
      <c r="C493" s="9" t="e">
        <f>RADIANS(B493)</f>
        <v>#N/A</v>
      </c>
      <c r="D493" s="9" t="e">
        <f>($B$3+$B$4)*COS(C493)-$B$4*COS((($B$3+$B$4)/$B$4)*C493)</f>
        <v>#N/A</v>
      </c>
      <c r="E493" s="9" t="e">
        <f>($B$3+$B$4)*SIN(C493)-$B$4*SIN((($B$3+$B$4)/$B$4)*C493)</f>
        <v>#N/A</v>
      </c>
      <c r="F493" s="5"/>
      <c r="G493" s="5"/>
      <c r="H493" s="5"/>
    </row>
    <row r="494" spans="1:8" x14ac:dyDescent="0.3">
      <c r="A494" s="9">
        <f>ROW()-ROW($A$14)</f>
        <v>480</v>
      </c>
      <c r="B494" s="9" t="e">
        <f>IF(A494&lt;=$B$8,$B$6+(A494-1)*($B$7-$B$6)/MAX(1,$B$8-1),NA())</f>
        <v>#N/A</v>
      </c>
      <c r="C494" s="9" t="e">
        <f>RADIANS(B494)</f>
        <v>#N/A</v>
      </c>
      <c r="D494" s="9" t="e">
        <f>($B$3+$B$4)*COS(C494)-$B$4*COS((($B$3+$B$4)/$B$4)*C494)</f>
        <v>#N/A</v>
      </c>
      <c r="E494" s="9" t="e">
        <f>($B$3+$B$4)*SIN(C494)-$B$4*SIN((($B$3+$B$4)/$B$4)*C494)</f>
        <v>#N/A</v>
      </c>
      <c r="F494" s="5"/>
      <c r="G494" s="5"/>
      <c r="H494" s="5"/>
    </row>
    <row r="495" spans="1:8" x14ac:dyDescent="0.3">
      <c r="A495" s="9">
        <f>ROW()-ROW($A$14)</f>
        <v>481</v>
      </c>
      <c r="B495" s="9" t="e">
        <f>IF(A495&lt;=$B$8,$B$6+(A495-1)*($B$7-$B$6)/MAX(1,$B$8-1),NA())</f>
        <v>#N/A</v>
      </c>
      <c r="C495" s="9" t="e">
        <f>RADIANS(B495)</f>
        <v>#N/A</v>
      </c>
      <c r="D495" s="9" t="e">
        <f>($B$3+$B$4)*COS(C495)-$B$4*COS((($B$3+$B$4)/$B$4)*C495)</f>
        <v>#N/A</v>
      </c>
      <c r="E495" s="9" t="e">
        <f>($B$3+$B$4)*SIN(C495)-$B$4*SIN((($B$3+$B$4)/$B$4)*C495)</f>
        <v>#N/A</v>
      </c>
      <c r="F495" s="5"/>
      <c r="G495" s="5"/>
      <c r="H495" s="5"/>
    </row>
    <row r="496" spans="1:8" x14ac:dyDescent="0.3">
      <c r="A496" s="9">
        <f>ROW()-ROW($A$14)</f>
        <v>482</v>
      </c>
      <c r="B496" s="9" t="e">
        <f>IF(A496&lt;=$B$8,$B$6+(A496-1)*($B$7-$B$6)/MAX(1,$B$8-1),NA())</f>
        <v>#N/A</v>
      </c>
      <c r="C496" s="9" t="e">
        <f>RADIANS(B496)</f>
        <v>#N/A</v>
      </c>
      <c r="D496" s="9" t="e">
        <f>($B$3+$B$4)*COS(C496)-$B$4*COS((($B$3+$B$4)/$B$4)*C496)</f>
        <v>#N/A</v>
      </c>
      <c r="E496" s="9" t="e">
        <f>($B$3+$B$4)*SIN(C496)-$B$4*SIN((($B$3+$B$4)/$B$4)*C496)</f>
        <v>#N/A</v>
      </c>
      <c r="F496" s="5"/>
      <c r="G496" s="5"/>
      <c r="H496" s="5"/>
    </row>
    <row r="497" spans="1:8" x14ac:dyDescent="0.3">
      <c r="A497" s="9">
        <f>ROW()-ROW($A$14)</f>
        <v>483</v>
      </c>
      <c r="B497" s="9" t="e">
        <f>IF(A497&lt;=$B$8,$B$6+(A497-1)*($B$7-$B$6)/MAX(1,$B$8-1),NA())</f>
        <v>#N/A</v>
      </c>
      <c r="C497" s="9" t="e">
        <f>RADIANS(B497)</f>
        <v>#N/A</v>
      </c>
      <c r="D497" s="9" t="e">
        <f>($B$3+$B$4)*COS(C497)-$B$4*COS((($B$3+$B$4)/$B$4)*C497)</f>
        <v>#N/A</v>
      </c>
      <c r="E497" s="9" t="e">
        <f>($B$3+$B$4)*SIN(C497)-$B$4*SIN((($B$3+$B$4)/$B$4)*C497)</f>
        <v>#N/A</v>
      </c>
      <c r="F497" s="5"/>
      <c r="G497" s="5"/>
      <c r="H497" s="5"/>
    </row>
    <row r="498" spans="1:8" x14ac:dyDescent="0.3">
      <c r="A498" s="9">
        <f>ROW()-ROW($A$14)</f>
        <v>484</v>
      </c>
      <c r="B498" s="9" t="e">
        <f>IF(A498&lt;=$B$8,$B$6+(A498-1)*($B$7-$B$6)/MAX(1,$B$8-1),NA())</f>
        <v>#N/A</v>
      </c>
      <c r="C498" s="9" t="e">
        <f>RADIANS(B498)</f>
        <v>#N/A</v>
      </c>
      <c r="D498" s="9" t="e">
        <f>($B$3+$B$4)*COS(C498)-$B$4*COS((($B$3+$B$4)/$B$4)*C498)</f>
        <v>#N/A</v>
      </c>
      <c r="E498" s="9" t="e">
        <f>($B$3+$B$4)*SIN(C498)-$B$4*SIN((($B$3+$B$4)/$B$4)*C498)</f>
        <v>#N/A</v>
      </c>
      <c r="F498" s="5"/>
      <c r="G498" s="5"/>
      <c r="H498" s="5"/>
    </row>
    <row r="499" spans="1:8" x14ac:dyDescent="0.3">
      <c r="A499" s="9">
        <f>ROW()-ROW($A$14)</f>
        <v>485</v>
      </c>
      <c r="B499" s="9" t="e">
        <f>IF(A499&lt;=$B$8,$B$6+(A499-1)*($B$7-$B$6)/MAX(1,$B$8-1),NA())</f>
        <v>#N/A</v>
      </c>
      <c r="C499" s="9" t="e">
        <f>RADIANS(B499)</f>
        <v>#N/A</v>
      </c>
      <c r="D499" s="9" t="e">
        <f>($B$3+$B$4)*COS(C499)-$B$4*COS((($B$3+$B$4)/$B$4)*C499)</f>
        <v>#N/A</v>
      </c>
      <c r="E499" s="9" t="e">
        <f>($B$3+$B$4)*SIN(C499)-$B$4*SIN((($B$3+$B$4)/$B$4)*C499)</f>
        <v>#N/A</v>
      </c>
      <c r="F499" s="5"/>
      <c r="G499" s="5"/>
      <c r="H499" s="5"/>
    </row>
    <row r="500" spans="1:8" x14ac:dyDescent="0.3">
      <c r="A500" s="9">
        <f>ROW()-ROW($A$14)</f>
        <v>486</v>
      </c>
      <c r="B500" s="9" t="e">
        <f>IF(A500&lt;=$B$8,$B$6+(A500-1)*($B$7-$B$6)/MAX(1,$B$8-1),NA())</f>
        <v>#N/A</v>
      </c>
      <c r="C500" s="9" t="e">
        <f>RADIANS(B500)</f>
        <v>#N/A</v>
      </c>
      <c r="D500" s="9" t="e">
        <f>($B$3+$B$4)*COS(C500)-$B$4*COS((($B$3+$B$4)/$B$4)*C500)</f>
        <v>#N/A</v>
      </c>
      <c r="E500" s="9" t="e">
        <f>($B$3+$B$4)*SIN(C500)-$B$4*SIN((($B$3+$B$4)/$B$4)*C500)</f>
        <v>#N/A</v>
      </c>
      <c r="F500" s="5"/>
      <c r="G500" s="5"/>
      <c r="H500" s="5"/>
    </row>
    <row r="501" spans="1:8" x14ac:dyDescent="0.3">
      <c r="A501" s="9">
        <f>ROW()-ROW($A$14)</f>
        <v>487</v>
      </c>
      <c r="B501" s="9" t="e">
        <f>IF(A501&lt;=$B$8,$B$6+(A501-1)*($B$7-$B$6)/MAX(1,$B$8-1),NA())</f>
        <v>#N/A</v>
      </c>
      <c r="C501" s="9" t="e">
        <f>RADIANS(B501)</f>
        <v>#N/A</v>
      </c>
      <c r="D501" s="9" t="e">
        <f>($B$3+$B$4)*COS(C501)-$B$4*COS((($B$3+$B$4)/$B$4)*C501)</f>
        <v>#N/A</v>
      </c>
      <c r="E501" s="9" t="e">
        <f>($B$3+$B$4)*SIN(C501)-$B$4*SIN((($B$3+$B$4)/$B$4)*C501)</f>
        <v>#N/A</v>
      </c>
      <c r="F501" s="5"/>
      <c r="G501" s="5"/>
      <c r="H501" s="5"/>
    </row>
    <row r="502" spans="1:8" x14ac:dyDescent="0.3">
      <c r="A502" s="9">
        <f>ROW()-ROW($A$14)</f>
        <v>488</v>
      </c>
      <c r="B502" s="9" t="e">
        <f>IF(A502&lt;=$B$8,$B$6+(A502-1)*($B$7-$B$6)/MAX(1,$B$8-1),NA())</f>
        <v>#N/A</v>
      </c>
      <c r="C502" s="9" t="e">
        <f>RADIANS(B502)</f>
        <v>#N/A</v>
      </c>
      <c r="D502" s="9" t="e">
        <f>($B$3+$B$4)*COS(C502)-$B$4*COS((($B$3+$B$4)/$B$4)*C502)</f>
        <v>#N/A</v>
      </c>
      <c r="E502" s="9" t="e">
        <f>($B$3+$B$4)*SIN(C502)-$B$4*SIN((($B$3+$B$4)/$B$4)*C502)</f>
        <v>#N/A</v>
      </c>
      <c r="F502" s="5"/>
      <c r="G502" s="5"/>
      <c r="H502" s="5"/>
    </row>
    <row r="503" spans="1:8" x14ac:dyDescent="0.3">
      <c r="A503" s="9">
        <f>ROW()-ROW($A$14)</f>
        <v>489</v>
      </c>
      <c r="B503" s="9" t="e">
        <f>IF(A503&lt;=$B$8,$B$6+(A503-1)*($B$7-$B$6)/MAX(1,$B$8-1),NA())</f>
        <v>#N/A</v>
      </c>
      <c r="C503" s="9" t="e">
        <f>RADIANS(B503)</f>
        <v>#N/A</v>
      </c>
      <c r="D503" s="9" t="e">
        <f>($B$3+$B$4)*COS(C503)-$B$4*COS((($B$3+$B$4)/$B$4)*C503)</f>
        <v>#N/A</v>
      </c>
      <c r="E503" s="9" t="e">
        <f>($B$3+$B$4)*SIN(C503)-$B$4*SIN((($B$3+$B$4)/$B$4)*C503)</f>
        <v>#N/A</v>
      </c>
      <c r="F503" s="5"/>
      <c r="G503" s="5"/>
      <c r="H503" s="5"/>
    </row>
    <row r="504" spans="1:8" x14ac:dyDescent="0.3">
      <c r="A504" s="9">
        <f>ROW()-ROW($A$14)</f>
        <v>490</v>
      </c>
      <c r="B504" s="9" t="e">
        <f>IF(A504&lt;=$B$8,$B$6+(A504-1)*($B$7-$B$6)/MAX(1,$B$8-1),NA())</f>
        <v>#N/A</v>
      </c>
      <c r="C504" s="9" t="e">
        <f>RADIANS(B504)</f>
        <v>#N/A</v>
      </c>
      <c r="D504" s="9" t="e">
        <f>($B$3+$B$4)*COS(C504)-$B$4*COS((($B$3+$B$4)/$B$4)*C504)</f>
        <v>#N/A</v>
      </c>
      <c r="E504" s="9" t="e">
        <f>($B$3+$B$4)*SIN(C504)-$B$4*SIN((($B$3+$B$4)/$B$4)*C504)</f>
        <v>#N/A</v>
      </c>
      <c r="F504" s="5"/>
      <c r="G504" s="5"/>
      <c r="H504" s="5"/>
    </row>
    <row r="505" spans="1:8" x14ac:dyDescent="0.3">
      <c r="A505" s="9">
        <f>ROW()-ROW($A$14)</f>
        <v>491</v>
      </c>
      <c r="B505" s="9" t="e">
        <f>IF(A505&lt;=$B$8,$B$6+(A505-1)*($B$7-$B$6)/MAX(1,$B$8-1),NA())</f>
        <v>#N/A</v>
      </c>
      <c r="C505" s="9" t="e">
        <f>RADIANS(B505)</f>
        <v>#N/A</v>
      </c>
      <c r="D505" s="9" t="e">
        <f>($B$3+$B$4)*COS(C505)-$B$4*COS((($B$3+$B$4)/$B$4)*C505)</f>
        <v>#N/A</v>
      </c>
      <c r="E505" s="9" t="e">
        <f>($B$3+$B$4)*SIN(C505)-$B$4*SIN((($B$3+$B$4)/$B$4)*C505)</f>
        <v>#N/A</v>
      </c>
      <c r="F505" s="5"/>
      <c r="G505" s="5"/>
      <c r="H505" s="5"/>
    </row>
    <row r="506" spans="1:8" x14ac:dyDescent="0.3">
      <c r="A506" s="9">
        <f>ROW()-ROW($A$14)</f>
        <v>492</v>
      </c>
      <c r="B506" s="9" t="e">
        <f>IF(A506&lt;=$B$8,$B$6+(A506-1)*($B$7-$B$6)/MAX(1,$B$8-1),NA())</f>
        <v>#N/A</v>
      </c>
      <c r="C506" s="9" t="e">
        <f>RADIANS(B506)</f>
        <v>#N/A</v>
      </c>
      <c r="D506" s="9" t="e">
        <f>($B$3+$B$4)*COS(C506)-$B$4*COS((($B$3+$B$4)/$B$4)*C506)</f>
        <v>#N/A</v>
      </c>
      <c r="E506" s="9" t="e">
        <f>($B$3+$B$4)*SIN(C506)-$B$4*SIN((($B$3+$B$4)/$B$4)*C506)</f>
        <v>#N/A</v>
      </c>
      <c r="F506" s="5"/>
      <c r="G506" s="5"/>
      <c r="H506" s="5"/>
    </row>
    <row r="507" spans="1:8" x14ac:dyDescent="0.3">
      <c r="A507" s="9">
        <f>ROW()-ROW($A$14)</f>
        <v>493</v>
      </c>
      <c r="B507" s="9" t="e">
        <f>IF(A507&lt;=$B$8,$B$6+(A507-1)*($B$7-$B$6)/MAX(1,$B$8-1),NA())</f>
        <v>#N/A</v>
      </c>
      <c r="C507" s="9" t="e">
        <f>RADIANS(B507)</f>
        <v>#N/A</v>
      </c>
      <c r="D507" s="9" t="e">
        <f>($B$3+$B$4)*COS(C507)-$B$4*COS((($B$3+$B$4)/$B$4)*C507)</f>
        <v>#N/A</v>
      </c>
      <c r="E507" s="9" t="e">
        <f>($B$3+$B$4)*SIN(C507)-$B$4*SIN((($B$3+$B$4)/$B$4)*C507)</f>
        <v>#N/A</v>
      </c>
      <c r="F507" s="5"/>
      <c r="G507" s="5"/>
      <c r="H507" s="5"/>
    </row>
    <row r="508" spans="1:8" x14ac:dyDescent="0.3">
      <c r="A508" s="9">
        <f>ROW()-ROW($A$14)</f>
        <v>494</v>
      </c>
      <c r="B508" s="9" t="e">
        <f>IF(A508&lt;=$B$8,$B$6+(A508-1)*($B$7-$B$6)/MAX(1,$B$8-1),NA())</f>
        <v>#N/A</v>
      </c>
      <c r="C508" s="9" t="e">
        <f>RADIANS(B508)</f>
        <v>#N/A</v>
      </c>
      <c r="D508" s="9" t="e">
        <f>($B$3+$B$4)*COS(C508)-$B$4*COS((($B$3+$B$4)/$B$4)*C508)</f>
        <v>#N/A</v>
      </c>
      <c r="E508" s="9" t="e">
        <f>($B$3+$B$4)*SIN(C508)-$B$4*SIN((($B$3+$B$4)/$B$4)*C508)</f>
        <v>#N/A</v>
      </c>
      <c r="F508" s="5"/>
      <c r="G508" s="5"/>
      <c r="H508" s="5"/>
    </row>
    <row r="509" spans="1:8" x14ac:dyDescent="0.3">
      <c r="A509" s="9">
        <f>ROW()-ROW($A$14)</f>
        <v>495</v>
      </c>
      <c r="B509" s="9" t="e">
        <f>IF(A509&lt;=$B$8,$B$6+(A509-1)*($B$7-$B$6)/MAX(1,$B$8-1),NA())</f>
        <v>#N/A</v>
      </c>
      <c r="C509" s="9" t="e">
        <f>RADIANS(B509)</f>
        <v>#N/A</v>
      </c>
      <c r="D509" s="9" t="e">
        <f>($B$3+$B$4)*COS(C509)-$B$4*COS((($B$3+$B$4)/$B$4)*C509)</f>
        <v>#N/A</v>
      </c>
      <c r="E509" s="9" t="e">
        <f>($B$3+$B$4)*SIN(C509)-$B$4*SIN((($B$3+$B$4)/$B$4)*C509)</f>
        <v>#N/A</v>
      </c>
      <c r="F509" s="5"/>
      <c r="G509" s="5"/>
      <c r="H509" s="5"/>
    </row>
    <row r="510" spans="1:8" x14ac:dyDescent="0.3">
      <c r="A510" s="9">
        <f>ROW()-ROW($A$14)</f>
        <v>496</v>
      </c>
      <c r="B510" s="9" t="e">
        <f>IF(A510&lt;=$B$8,$B$6+(A510-1)*($B$7-$B$6)/MAX(1,$B$8-1),NA())</f>
        <v>#N/A</v>
      </c>
      <c r="C510" s="9" t="e">
        <f>RADIANS(B510)</f>
        <v>#N/A</v>
      </c>
      <c r="D510" s="9" t="e">
        <f>($B$3+$B$4)*COS(C510)-$B$4*COS((($B$3+$B$4)/$B$4)*C510)</f>
        <v>#N/A</v>
      </c>
      <c r="E510" s="9" t="e">
        <f>($B$3+$B$4)*SIN(C510)-$B$4*SIN((($B$3+$B$4)/$B$4)*C510)</f>
        <v>#N/A</v>
      </c>
      <c r="F510" s="5"/>
      <c r="G510" s="5"/>
      <c r="H510" s="5"/>
    </row>
    <row r="511" spans="1:8" x14ac:dyDescent="0.3">
      <c r="A511" s="9">
        <f>ROW()-ROW($A$14)</f>
        <v>497</v>
      </c>
      <c r="B511" s="9" t="e">
        <f>IF(A511&lt;=$B$8,$B$6+(A511-1)*($B$7-$B$6)/MAX(1,$B$8-1),NA())</f>
        <v>#N/A</v>
      </c>
      <c r="C511" s="9" t="e">
        <f>RADIANS(B511)</f>
        <v>#N/A</v>
      </c>
      <c r="D511" s="9" t="e">
        <f>($B$3+$B$4)*COS(C511)-$B$4*COS((($B$3+$B$4)/$B$4)*C511)</f>
        <v>#N/A</v>
      </c>
      <c r="E511" s="9" t="e">
        <f>($B$3+$B$4)*SIN(C511)-$B$4*SIN((($B$3+$B$4)/$B$4)*C511)</f>
        <v>#N/A</v>
      </c>
      <c r="F511" s="5"/>
      <c r="G511" s="5"/>
      <c r="H511" s="5"/>
    </row>
    <row r="512" spans="1:8" x14ac:dyDescent="0.3">
      <c r="A512" s="9">
        <f>ROW()-ROW($A$14)</f>
        <v>498</v>
      </c>
      <c r="B512" s="9" t="e">
        <f>IF(A512&lt;=$B$8,$B$6+(A512-1)*($B$7-$B$6)/MAX(1,$B$8-1),NA())</f>
        <v>#N/A</v>
      </c>
      <c r="C512" s="9" t="e">
        <f>RADIANS(B512)</f>
        <v>#N/A</v>
      </c>
      <c r="D512" s="9" t="e">
        <f>($B$3+$B$4)*COS(C512)-$B$4*COS((($B$3+$B$4)/$B$4)*C512)</f>
        <v>#N/A</v>
      </c>
      <c r="E512" s="9" t="e">
        <f>($B$3+$B$4)*SIN(C512)-$B$4*SIN((($B$3+$B$4)/$B$4)*C512)</f>
        <v>#N/A</v>
      </c>
      <c r="F512" s="5"/>
      <c r="G512" s="5"/>
      <c r="H512" s="5"/>
    </row>
    <row r="513" spans="1:8" x14ac:dyDescent="0.3">
      <c r="A513" s="9">
        <f>ROW()-ROW($A$14)</f>
        <v>499</v>
      </c>
      <c r="B513" s="9" t="e">
        <f>IF(A513&lt;=$B$8,$B$6+(A513-1)*($B$7-$B$6)/MAX(1,$B$8-1),NA())</f>
        <v>#N/A</v>
      </c>
      <c r="C513" s="9" t="e">
        <f>RADIANS(B513)</f>
        <v>#N/A</v>
      </c>
      <c r="D513" s="9" t="e">
        <f>($B$3+$B$4)*COS(C513)-$B$4*COS((($B$3+$B$4)/$B$4)*C513)</f>
        <v>#N/A</v>
      </c>
      <c r="E513" s="9" t="e">
        <f>($B$3+$B$4)*SIN(C513)-$B$4*SIN((($B$3+$B$4)/$B$4)*C513)</f>
        <v>#N/A</v>
      </c>
      <c r="F513" s="5"/>
      <c r="G513" s="5"/>
      <c r="H513" s="5"/>
    </row>
    <row r="514" spans="1:8" x14ac:dyDescent="0.3">
      <c r="A514" s="9">
        <f>ROW()-ROW($A$14)</f>
        <v>500</v>
      </c>
      <c r="B514" s="9" t="e">
        <f>IF(A514&lt;=$B$8,$B$6+(A514-1)*($B$7-$B$6)/MAX(1,$B$8-1),NA())</f>
        <v>#N/A</v>
      </c>
      <c r="C514" s="9" t="e">
        <f>RADIANS(B514)</f>
        <v>#N/A</v>
      </c>
      <c r="D514" s="9" t="e">
        <f>($B$3+$B$4)*COS(C514)-$B$4*COS((($B$3+$B$4)/$B$4)*C514)</f>
        <v>#N/A</v>
      </c>
      <c r="E514" s="9" t="e">
        <f>($B$3+$B$4)*SIN(C514)-$B$4*SIN((($B$3+$B$4)/$B$4)*C514)</f>
        <v>#N/A</v>
      </c>
      <c r="F514" s="5"/>
      <c r="G514" s="5"/>
      <c r="H514" s="5"/>
    </row>
    <row r="515" spans="1:8" x14ac:dyDescent="0.3">
      <c r="A515" s="9">
        <f>ROW()-ROW($A$14)</f>
        <v>501</v>
      </c>
      <c r="B515" s="9" t="e">
        <f>IF(A515&lt;=$B$8,$B$6+(A515-1)*($B$7-$B$6)/MAX(1,$B$8-1),NA())</f>
        <v>#N/A</v>
      </c>
      <c r="C515" s="9" t="e">
        <f>RADIANS(B515)</f>
        <v>#N/A</v>
      </c>
      <c r="D515" s="9" t="e">
        <f>($B$3+$B$4)*COS(C515)-$B$4*COS((($B$3+$B$4)/$B$4)*C515)</f>
        <v>#N/A</v>
      </c>
      <c r="E515" s="9" t="e">
        <f>($B$3+$B$4)*SIN(C515)-$B$4*SIN((($B$3+$B$4)/$B$4)*C515)</f>
        <v>#N/A</v>
      </c>
      <c r="F515" s="5"/>
      <c r="G515" s="5"/>
      <c r="H515" s="5"/>
    </row>
    <row r="516" spans="1:8" x14ac:dyDescent="0.3">
      <c r="A516" s="9">
        <f>ROW()-ROW($A$14)</f>
        <v>502</v>
      </c>
      <c r="B516" s="9" t="e">
        <f>IF(A516&lt;=$B$8,$B$6+(A516-1)*($B$7-$B$6)/MAX(1,$B$8-1),NA())</f>
        <v>#N/A</v>
      </c>
      <c r="C516" s="9" t="e">
        <f>RADIANS(B516)</f>
        <v>#N/A</v>
      </c>
      <c r="D516" s="9" t="e">
        <f>($B$3+$B$4)*COS(C516)-$B$4*COS((($B$3+$B$4)/$B$4)*C516)</f>
        <v>#N/A</v>
      </c>
      <c r="E516" s="9" t="e">
        <f>($B$3+$B$4)*SIN(C516)-$B$4*SIN((($B$3+$B$4)/$B$4)*C516)</f>
        <v>#N/A</v>
      </c>
      <c r="F516" s="5"/>
      <c r="G516" s="5"/>
      <c r="H516" s="5"/>
    </row>
    <row r="517" spans="1:8" x14ac:dyDescent="0.3">
      <c r="A517" s="9">
        <f>ROW()-ROW($A$14)</f>
        <v>503</v>
      </c>
      <c r="B517" s="9" t="e">
        <f>IF(A517&lt;=$B$8,$B$6+(A517-1)*($B$7-$B$6)/MAX(1,$B$8-1),NA())</f>
        <v>#N/A</v>
      </c>
      <c r="C517" s="9" t="e">
        <f>RADIANS(B517)</f>
        <v>#N/A</v>
      </c>
      <c r="D517" s="9" t="e">
        <f>($B$3+$B$4)*COS(C517)-$B$4*COS((($B$3+$B$4)/$B$4)*C517)</f>
        <v>#N/A</v>
      </c>
      <c r="E517" s="9" t="e">
        <f>($B$3+$B$4)*SIN(C517)-$B$4*SIN((($B$3+$B$4)/$B$4)*C517)</f>
        <v>#N/A</v>
      </c>
      <c r="F517" s="5"/>
      <c r="G517" s="5"/>
      <c r="H517" s="5"/>
    </row>
    <row r="518" spans="1:8" x14ac:dyDescent="0.3">
      <c r="A518" s="9">
        <f>ROW()-ROW($A$14)</f>
        <v>504</v>
      </c>
      <c r="B518" s="9" t="e">
        <f>IF(A518&lt;=$B$8,$B$6+(A518-1)*($B$7-$B$6)/MAX(1,$B$8-1),NA())</f>
        <v>#N/A</v>
      </c>
      <c r="C518" s="9" t="e">
        <f>RADIANS(B518)</f>
        <v>#N/A</v>
      </c>
      <c r="D518" s="9" t="e">
        <f>($B$3+$B$4)*COS(C518)-$B$4*COS((($B$3+$B$4)/$B$4)*C518)</f>
        <v>#N/A</v>
      </c>
      <c r="E518" s="9" t="e">
        <f>($B$3+$B$4)*SIN(C518)-$B$4*SIN((($B$3+$B$4)/$B$4)*C518)</f>
        <v>#N/A</v>
      </c>
      <c r="F518" s="5"/>
      <c r="G518" s="5"/>
      <c r="H518" s="5"/>
    </row>
    <row r="519" spans="1:8" x14ac:dyDescent="0.3">
      <c r="A519" s="9">
        <f>ROW()-ROW($A$14)</f>
        <v>505</v>
      </c>
      <c r="B519" s="9" t="e">
        <f>IF(A519&lt;=$B$8,$B$6+(A519-1)*($B$7-$B$6)/MAX(1,$B$8-1),NA())</f>
        <v>#N/A</v>
      </c>
      <c r="C519" s="9" t="e">
        <f>RADIANS(B519)</f>
        <v>#N/A</v>
      </c>
      <c r="D519" s="9" t="e">
        <f>($B$3+$B$4)*COS(C519)-$B$4*COS((($B$3+$B$4)/$B$4)*C519)</f>
        <v>#N/A</v>
      </c>
      <c r="E519" s="9" t="e">
        <f>($B$3+$B$4)*SIN(C519)-$B$4*SIN((($B$3+$B$4)/$B$4)*C519)</f>
        <v>#N/A</v>
      </c>
      <c r="F519" s="5"/>
      <c r="G519" s="5"/>
      <c r="H519" s="5"/>
    </row>
    <row r="520" spans="1:8" x14ac:dyDescent="0.3">
      <c r="A520" s="9">
        <f>ROW()-ROW($A$14)</f>
        <v>506</v>
      </c>
      <c r="B520" s="9" t="e">
        <f>IF(A520&lt;=$B$8,$B$6+(A520-1)*($B$7-$B$6)/MAX(1,$B$8-1),NA())</f>
        <v>#N/A</v>
      </c>
      <c r="C520" s="9" t="e">
        <f>RADIANS(B520)</f>
        <v>#N/A</v>
      </c>
      <c r="D520" s="9" t="e">
        <f>($B$3+$B$4)*COS(C520)-$B$4*COS((($B$3+$B$4)/$B$4)*C520)</f>
        <v>#N/A</v>
      </c>
      <c r="E520" s="9" t="e">
        <f>($B$3+$B$4)*SIN(C520)-$B$4*SIN((($B$3+$B$4)/$B$4)*C520)</f>
        <v>#N/A</v>
      </c>
      <c r="F520" s="5"/>
      <c r="G520" s="5"/>
      <c r="H520" s="5"/>
    </row>
    <row r="521" spans="1:8" x14ac:dyDescent="0.3">
      <c r="A521" s="9">
        <f>ROW()-ROW($A$14)</f>
        <v>507</v>
      </c>
      <c r="B521" s="9" t="e">
        <f>IF(A521&lt;=$B$8,$B$6+(A521-1)*($B$7-$B$6)/MAX(1,$B$8-1),NA())</f>
        <v>#N/A</v>
      </c>
      <c r="C521" s="9" t="e">
        <f>RADIANS(B521)</f>
        <v>#N/A</v>
      </c>
      <c r="D521" s="9" t="e">
        <f>($B$3+$B$4)*COS(C521)-$B$4*COS((($B$3+$B$4)/$B$4)*C521)</f>
        <v>#N/A</v>
      </c>
      <c r="E521" s="9" t="e">
        <f>($B$3+$B$4)*SIN(C521)-$B$4*SIN((($B$3+$B$4)/$B$4)*C521)</f>
        <v>#N/A</v>
      </c>
      <c r="F521" s="5"/>
      <c r="G521" s="5"/>
      <c r="H521" s="5"/>
    </row>
    <row r="522" spans="1:8" x14ac:dyDescent="0.3">
      <c r="A522" s="9">
        <f>ROW()-ROW($A$14)</f>
        <v>508</v>
      </c>
      <c r="B522" s="9" t="e">
        <f>IF(A522&lt;=$B$8,$B$6+(A522-1)*($B$7-$B$6)/MAX(1,$B$8-1),NA())</f>
        <v>#N/A</v>
      </c>
      <c r="C522" s="9" t="e">
        <f>RADIANS(B522)</f>
        <v>#N/A</v>
      </c>
      <c r="D522" s="9" t="e">
        <f>($B$3+$B$4)*COS(C522)-$B$4*COS((($B$3+$B$4)/$B$4)*C522)</f>
        <v>#N/A</v>
      </c>
      <c r="E522" s="9" t="e">
        <f>($B$3+$B$4)*SIN(C522)-$B$4*SIN((($B$3+$B$4)/$B$4)*C522)</f>
        <v>#N/A</v>
      </c>
      <c r="F522" s="5"/>
      <c r="G522" s="5"/>
      <c r="H522" s="5"/>
    </row>
    <row r="523" spans="1:8" x14ac:dyDescent="0.3">
      <c r="A523" s="9">
        <f>ROW()-ROW($A$14)</f>
        <v>509</v>
      </c>
      <c r="B523" s="9" t="e">
        <f>IF(A523&lt;=$B$8,$B$6+(A523-1)*($B$7-$B$6)/MAX(1,$B$8-1),NA())</f>
        <v>#N/A</v>
      </c>
      <c r="C523" s="9" t="e">
        <f>RADIANS(B523)</f>
        <v>#N/A</v>
      </c>
      <c r="D523" s="9" t="e">
        <f>($B$3+$B$4)*COS(C523)-$B$4*COS((($B$3+$B$4)/$B$4)*C523)</f>
        <v>#N/A</v>
      </c>
      <c r="E523" s="9" t="e">
        <f>($B$3+$B$4)*SIN(C523)-$B$4*SIN((($B$3+$B$4)/$B$4)*C523)</f>
        <v>#N/A</v>
      </c>
      <c r="F523" s="5"/>
      <c r="G523" s="5"/>
      <c r="H523" s="5"/>
    </row>
    <row r="524" spans="1:8" x14ac:dyDescent="0.3">
      <c r="A524" s="9">
        <f>ROW()-ROW($A$14)</f>
        <v>510</v>
      </c>
      <c r="B524" s="9" t="e">
        <f>IF(A524&lt;=$B$8,$B$6+(A524-1)*($B$7-$B$6)/MAX(1,$B$8-1),NA())</f>
        <v>#N/A</v>
      </c>
      <c r="C524" s="9" t="e">
        <f>RADIANS(B524)</f>
        <v>#N/A</v>
      </c>
      <c r="D524" s="9" t="e">
        <f>($B$3+$B$4)*COS(C524)-$B$4*COS((($B$3+$B$4)/$B$4)*C524)</f>
        <v>#N/A</v>
      </c>
      <c r="E524" s="9" t="e">
        <f>($B$3+$B$4)*SIN(C524)-$B$4*SIN((($B$3+$B$4)/$B$4)*C524)</f>
        <v>#N/A</v>
      </c>
      <c r="F524" s="5"/>
      <c r="G524" s="5"/>
      <c r="H524" s="5"/>
    </row>
    <row r="525" spans="1:8" x14ac:dyDescent="0.3">
      <c r="A525" s="9">
        <f>ROW()-ROW($A$14)</f>
        <v>511</v>
      </c>
      <c r="B525" s="9" t="e">
        <f>IF(A525&lt;=$B$8,$B$6+(A525-1)*($B$7-$B$6)/MAX(1,$B$8-1),NA())</f>
        <v>#N/A</v>
      </c>
      <c r="C525" s="9" t="e">
        <f>RADIANS(B525)</f>
        <v>#N/A</v>
      </c>
      <c r="D525" s="9" t="e">
        <f>($B$3+$B$4)*COS(C525)-$B$4*COS((($B$3+$B$4)/$B$4)*C525)</f>
        <v>#N/A</v>
      </c>
      <c r="E525" s="9" t="e">
        <f>($B$3+$B$4)*SIN(C525)-$B$4*SIN((($B$3+$B$4)/$B$4)*C525)</f>
        <v>#N/A</v>
      </c>
      <c r="F525" s="5"/>
      <c r="G525" s="5"/>
      <c r="H525" s="5"/>
    </row>
    <row r="526" spans="1:8" x14ac:dyDescent="0.3">
      <c r="A526" s="9">
        <f>ROW()-ROW($A$14)</f>
        <v>512</v>
      </c>
      <c r="B526" s="9" t="e">
        <f>IF(A526&lt;=$B$8,$B$6+(A526-1)*($B$7-$B$6)/MAX(1,$B$8-1),NA())</f>
        <v>#N/A</v>
      </c>
      <c r="C526" s="9" t="e">
        <f>RADIANS(B526)</f>
        <v>#N/A</v>
      </c>
      <c r="D526" s="9" t="e">
        <f>($B$3+$B$4)*COS(C526)-$B$4*COS((($B$3+$B$4)/$B$4)*C526)</f>
        <v>#N/A</v>
      </c>
      <c r="E526" s="9" t="e">
        <f>($B$3+$B$4)*SIN(C526)-$B$4*SIN((($B$3+$B$4)/$B$4)*C526)</f>
        <v>#N/A</v>
      </c>
      <c r="F526" s="5"/>
      <c r="G526" s="5"/>
      <c r="H526" s="5"/>
    </row>
    <row r="527" spans="1:8" x14ac:dyDescent="0.3">
      <c r="A527" s="9">
        <f>ROW()-ROW($A$14)</f>
        <v>513</v>
      </c>
      <c r="B527" s="9" t="e">
        <f>IF(A527&lt;=$B$8,$B$6+(A527-1)*($B$7-$B$6)/MAX(1,$B$8-1),NA())</f>
        <v>#N/A</v>
      </c>
      <c r="C527" s="9" t="e">
        <f>RADIANS(B527)</f>
        <v>#N/A</v>
      </c>
      <c r="D527" s="9" t="e">
        <f>($B$3+$B$4)*COS(C527)-$B$4*COS((($B$3+$B$4)/$B$4)*C527)</f>
        <v>#N/A</v>
      </c>
      <c r="E527" s="9" t="e">
        <f>($B$3+$B$4)*SIN(C527)-$B$4*SIN((($B$3+$B$4)/$B$4)*C527)</f>
        <v>#N/A</v>
      </c>
      <c r="F527" s="5"/>
      <c r="G527" s="5"/>
      <c r="H527" s="5"/>
    </row>
    <row r="528" spans="1:8" x14ac:dyDescent="0.3">
      <c r="A528" s="9">
        <f>ROW()-ROW($A$14)</f>
        <v>514</v>
      </c>
      <c r="B528" s="9" t="e">
        <f>IF(A528&lt;=$B$8,$B$6+(A528-1)*($B$7-$B$6)/MAX(1,$B$8-1),NA())</f>
        <v>#N/A</v>
      </c>
      <c r="C528" s="9" t="e">
        <f>RADIANS(B528)</f>
        <v>#N/A</v>
      </c>
      <c r="D528" s="9" t="e">
        <f>($B$3+$B$4)*COS(C528)-$B$4*COS((($B$3+$B$4)/$B$4)*C528)</f>
        <v>#N/A</v>
      </c>
      <c r="E528" s="9" t="e">
        <f>($B$3+$B$4)*SIN(C528)-$B$4*SIN((($B$3+$B$4)/$B$4)*C528)</f>
        <v>#N/A</v>
      </c>
      <c r="F528" s="5"/>
      <c r="G528" s="5"/>
      <c r="H528" s="5"/>
    </row>
    <row r="529" spans="1:8" x14ac:dyDescent="0.3">
      <c r="A529" s="9">
        <f>ROW()-ROW($A$14)</f>
        <v>515</v>
      </c>
      <c r="B529" s="9" t="e">
        <f>IF(A529&lt;=$B$8,$B$6+(A529-1)*($B$7-$B$6)/MAX(1,$B$8-1),NA())</f>
        <v>#N/A</v>
      </c>
      <c r="C529" s="9" t="e">
        <f>RADIANS(B529)</f>
        <v>#N/A</v>
      </c>
      <c r="D529" s="9" t="e">
        <f>($B$3+$B$4)*COS(C529)-$B$4*COS((($B$3+$B$4)/$B$4)*C529)</f>
        <v>#N/A</v>
      </c>
      <c r="E529" s="9" t="e">
        <f>($B$3+$B$4)*SIN(C529)-$B$4*SIN((($B$3+$B$4)/$B$4)*C529)</f>
        <v>#N/A</v>
      </c>
      <c r="F529" s="5"/>
      <c r="G529" s="5"/>
      <c r="H529" s="5"/>
    </row>
    <row r="530" spans="1:8" x14ac:dyDescent="0.3">
      <c r="A530" s="9">
        <f>ROW()-ROW($A$14)</f>
        <v>516</v>
      </c>
      <c r="B530" s="9" t="e">
        <f>IF(A530&lt;=$B$8,$B$6+(A530-1)*($B$7-$B$6)/MAX(1,$B$8-1),NA())</f>
        <v>#N/A</v>
      </c>
      <c r="C530" s="9" t="e">
        <f>RADIANS(B530)</f>
        <v>#N/A</v>
      </c>
      <c r="D530" s="9" t="e">
        <f>($B$3+$B$4)*COS(C530)-$B$4*COS((($B$3+$B$4)/$B$4)*C530)</f>
        <v>#N/A</v>
      </c>
      <c r="E530" s="9" t="e">
        <f>($B$3+$B$4)*SIN(C530)-$B$4*SIN((($B$3+$B$4)/$B$4)*C530)</f>
        <v>#N/A</v>
      </c>
      <c r="F530" s="5"/>
      <c r="G530" s="5"/>
      <c r="H530" s="5"/>
    </row>
    <row r="531" spans="1:8" x14ac:dyDescent="0.3">
      <c r="A531" s="9">
        <f>ROW()-ROW($A$14)</f>
        <v>517</v>
      </c>
      <c r="B531" s="9" t="e">
        <f>IF(A531&lt;=$B$8,$B$6+(A531-1)*($B$7-$B$6)/MAX(1,$B$8-1),NA())</f>
        <v>#N/A</v>
      </c>
      <c r="C531" s="9" t="e">
        <f>RADIANS(B531)</f>
        <v>#N/A</v>
      </c>
      <c r="D531" s="9" t="e">
        <f>($B$3+$B$4)*COS(C531)-$B$4*COS((($B$3+$B$4)/$B$4)*C531)</f>
        <v>#N/A</v>
      </c>
      <c r="E531" s="9" t="e">
        <f>($B$3+$B$4)*SIN(C531)-$B$4*SIN((($B$3+$B$4)/$B$4)*C531)</f>
        <v>#N/A</v>
      </c>
      <c r="F531" s="5"/>
      <c r="G531" s="5"/>
      <c r="H531" s="5"/>
    </row>
    <row r="532" spans="1:8" x14ac:dyDescent="0.3">
      <c r="A532" s="9">
        <f>ROW()-ROW($A$14)</f>
        <v>518</v>
      </c>
      <c r="B532" s="9" t="e">
        <f>IF(A532&lt;=$B$8,$B$6+(A532-1)*($B$7-$B$6)/MAX(1,$B$8-1),NA())</f>
        <v>#N/A</v>
      </c>
      <c r="C532" s="9" t="e">
        <f>RADIANS(B532)</f>
        <v>#N/A</v>
      </c>
      <c r="D532" s="9" t="e">
        <f>($B$3+$B$4)*COS(C532)-$B$4*COS((($B$3+$B$4)/$B$4)*C532)</f>
        <v>#N/A</v>
      </c>
      <c r="E532" s="9" t="e">
        <f>($B$3+$B$4)*SIN(C532)-$B$4*SIN((($B$3+$B$4)/$B$4)*C532)</f>
        <v>#N/A</v>
      </c>
      <c r="F532" s="5"/>
      <c r="G532" s="5"/>
      <c r="H532" s="5"/>
    </row>
    <row r="533" spans="1:8" x14ac:dyDescent="0.3">
      <c r="A533" s="9">
        <f>ROW()-ROW($A$14)</f>
        <v>519</v>
      </c>
      <c r="B533" s="9" t="e">
        <f>IF(A533&lt;=$B$8,$B$6+(A533-1)*($B$7-$B$6)/MAX(1,$B$8-1),NA())</f>
        <v>#N/A</v>
      </c>
      <c r="C533" s="9" t="e">
        <f>RADIANS(B533)</f>
        <v>#N/A</v>
      </c>
      <c r="D533" s="9" t="e">
        <f>($B$3+$B$4)*COS(C533)-$B$4*COS((($B$3+$B$4)/$B$4)*C533)</f>
        <v>#N/A</v>
      </c>
      <c r="E533" s="9" t="e">
        <f>($B$3+$B$4)*SIN(C533)-$B$4*SIN((($B$3+$B$4)/$B$4)*C533)</f>
        <v>#N/A</v>
      </c>
      <c r="F533" s="5"/>
      <c r="G533" s="5"/>
      <c r="H533" s="5"/>
    </row>
    <row r="534" spans="1:8" x14ac:dyDescent="0.3">
      <c r="A534" s="9">
        <f>ROW()-ROW($A$14)</f>
        <v>520</v>
      </c>
      <c r="B534" s="9" t="e">
        <f>IF(A534&lt;=$B$8,$B$6+(A534-1)*($B$7-$B$6)/MAX(1,$B$8-1),NA())</f>
        <v>#N/A</v>
      </c>
      <c r="C534" s="9" t="e">
        <f>RADIANS(B534)</f>
        <v>#N/A</v>
      </c>
      <c r="D534" s="9" t="e">
        <f>($B$3+$B$4)*COS(C534)-$B$4*COS((($B$3+$B$4)/$B$4)*C534)</f>
        <v>#N/A</v>
      </c>
      <c r="E534" s="9" t="e">
        <f>($B$3+$B$4)*SIN(C534)-$B$4*SIN((($B$3+$B$4)/$B$4)*C534)</f>
        <v>#N/A</v>
      </c>
      <c r="F534" s="5"/>
      <c r="G534" s="5"/>
      <c r="H534" s="5"/>
    </row>
    <row r="535" spans="1:8" x14ac:dyDescent="0.3">
      <c r="A535" s="9">
        <f>ROW()-ROW($A$14)</f>
        <v>521</v>
      </c>
      <c r="B535" s="9" t="e">
        <f>IF(A535&lt;=$B$8,$B$6+(A535-1)*($B$7-$B$6)/MAX(1,$B$8-1),NA())</f>
        <v>#N/A</v>
      </c>
      <c r="C535" s="9" t="e">
        <f>RADIANS(B535)</f>
        <v>#N/A</v>
      </c>
      <c r="D535" s="9" t="e">
        <f>($B$3+$B$4)*COS(C535)-$B$4*COS((($B$3+$B$4)/$B$4)*C535)</f>
        <v>#N/A</v>
      </c>
      <c r="E535" s="9" t="e">
        <f>($B$3+$B$4)*SIN(C535)-$B$4*SIN((($B$3+$B$4)/$B$4)*C535)</f>
        <v>#N/A</v>
      </c>
      <c r="F535" s="5"/>
      <c r="G535" s="5"/>
      <c r="H535" s="5"/>
    </row>
    <row r="536" spans="1:8" x14ac:dyDescent="0.3">
      <c r="A536" s="9">
        <f>ROW()-ROW($A$14)</f>
        <v>522</v>
      </c>
      <c r="B536" s="9" t="e">
        <f>IF(A536&lt;=$B$8,$B$6+(A536-1)*($B$7-$B$6)/MAX(1,$B$8-1),NA())</f>
        <v>#N/A</v>
      </c>
      <c r="C536" s="9" t="e">
        <f>RADIANS(B536)</f>
        <v>#N/A</v>
      </c>
      <c r="D536" s="9" t="e">
        <f>($B$3+$B$4)*COS(C536)-$B$4*COS((($B$3+$B$4)/$B$4)*C536)</f>
        <v>#N/A</v>
      </c>
      <c r="E536" s="9" t="e">
        <f>($B$3+$B$4)*SIN(C536)-$B$4*SIN((($B$3+$B$4)/$B$4)*C536)</f>
        <v>#N/A</v>
      </c>
      <c r="F536" s="5"/>
      <c r="G536" s="5"/>
      <c r="H536" s="5"/>
    </row>
    <row r="537" spans="1:8" x14ac:dyDescent="0.3">
      <c r="A537" s="9">
        <f>ROW()-ROW($A$14)</f>
        <v>523</v>
      </c>
      <c r="B537" s="9" t="e">
        <f>IF(A537&lt;=$B$8,$B$6+(A537-1)*($B$7-$B$6)/MAX(1,$B$8-1),NA())</f>
        <v>#N/A</v>
      </c>
      <c r="C537" s="9" t="e">
        <f>RADIANS(B537)</f>
        <v>#N/A</v>
      </c>
      <c r="D537" s="9" t="e">
        <f>($B$3+$B$4)*COS(C537)-$B$4*COS((($B$3+$B$4)/$B$4)*C537)</f>
        <v>#N/A</v>
      </c>
      <c r="E537" s="9" t="e">
        <f>($B$3+$B$4)*SIN(C537)-$B$4*SIN((($B$3+$B$4)/$B$4)*C537)</f>
        <v>#N/A</v>
      </c>
      <c r="F537" s="5"/>
      <c r="G537" s="5"/>
      <c r="H537" s="5"/>
    </row>
    <row r="538" spans="1:8" x14ac:dyDescent="0.3">
      <c r="A538" s="9">
        <f>ROW()-ROW($A$14)</f>
        <v>524</v>
      </c>
      <c r="B538" s="9" t="e">
        <f>IF(A538&lt;=$B$8,$B$6+(A538-1)*($B$7-$B$6)/MAX(1,$B$8-1),NA())</f>
        <v>#N/A</v>
      </c>
      <c r="C538" s="9" t="e">
        <f>RADIANS(B538)</f>
        <v>#N/A</v>
      </c>
      <c r="D538" s="9" t="e">
        <f>($B$3+$B$4)*COS(C538)-$B$4*COS((($B$3+$B$4)/$B$4)*C538)</f>
        <v>#N/A</v>
      </c>
      <c r="E538" s="9" t="e">
        <f>($B$3+$B$4)*SIN(C538)-$B$4*SIN((($B$3+$B$4)/$B$4)*C538)</f>
        <v>#N/A</v>
      </c>
      <c r="F538" s="5"/>
      <c r="G538" s="5"/>
      <c r="H538" s="5"/>
    </row>
    <row r="539" spans="1:8" x14ac:dyDescent="0.3">
      <c r="A539" s="9">
        <f>ROW()-ROW($A$14)</f>
        <v>525</v>
      </c>
      <c r="B539" s="9" t="e">
        <f>IF(A539&lt;=$B$8,$B$6+(A539-1)*($B$7-$B$6)/MAX(1,$B$8-1),NA())</f>
        <v>#N/A</v>
      </c>
      <c r="C539" s="9" t="e">
        <f>RADIANS(B539)</f>
        <v>#N/A</v>
      </c>
      <c r="D539" s="9" t="e">
        <f>($B$3+$B$4)*COS(C539)-$B$4*COS((($B$3+$B$4)/$B$4)*C539)</f>
        <v>#N/A</v>
      </c>
      <c r="E539" s="9" t="e">
        <f>($B$3+$B$4)*SIN(C539)-$B$4*SIN((($B$3+$B$4)/$B$4)*C539)</f>
        <v>#N/A</v>
      </c>
      <c r="F539" s="5"/>
      <c r="G539" s="5"/>
      <c r="H539" s="5"/>
    </row>
    <row r="540" spans="1:8" x14ac:dyDescent="0.3">
      <c r="A540" s="9">
        <f>ROW()-ROW($A$14)</f>
        <v>526</v>
      </c>
      <c r="B540" s="9" t="e">
        <f>IF(A540&lt;=$B$8,$B$6+(A540-1)*($B$7-$B$6)/MAX(1,$B$8-1),NA())</f>
        <v>#N/A</v>
      </c>
      <c r="C540" s="9" t="e">
        <f>RADIANS(B540)</f>
        <v>#N/A</v>
      </c>
      <c r="D540" s="9" t="e">
        <f>($B$3+$B$4)*COS(C540)-$B$4*COS((($B$3+$B$4)/$B$4)*C540)</f>
        <v>#N/A</v>
      </c>
      <c r="E540" s="9" t="e">
        <f>($B$3+$B$4)*SIN(C540)-$B$4*SIN((($B$3+$B$4)/$B$4)*C540)</f>
        <v>#N/A</v>
      </c>
      <c r="F540" s="5"/>
      <c r="G540" s="5"/>
      <c r="H540" s="5"/>
    </row>
    <row r="541" spans="1:8" x14ac:dyDescent="0.3">
      <c r="A541" s="9">
        <f>ROW()-ROW($A$14)</f>
        <v>527</v>
      </c>
      <c r="B541" s="9" t="e">
        <f>IF(A541&lt;=$B$8,$B$6+(A541-1)*($B$7-$B$6)/MAX(1,$B$8-1),NA())</f>
        <v>#N/A</v>
      </c>
      <c r="C541" s="9" t="e">
        <f>RADIANS(B541)</f>
        <v>#N/A</v>
      </c>
      <c r="D541" s="9" t="e">
        <f>($B$3+$B$4)*COS(C541)-$B$4*COS((($B$3+$B$4)/$B$4)*C541)</f>
        <v>#N/A</v>
      </c>
      <c r="E541" s="9" t="e">
        <f>($B$3+$B$4)*SIN(C541)-$B$4*SIN((($B$3+$B$4)/$B$4)*C541)</f>
        <v>#N/A</v>
      </c>
      <c r="F541" s="5"/>
      <c r="G541" s="5"/>
      <c r="H541" s="5"/>
    </row>
    <row r="542" spans="1:8" x14ac:dyDescent="0.3">
      <c r="A542" s="9">
        <f>ROW()-ROW($A$14)</f>
        <v>528</v>
      </c>
      <c r="B542" s="9" t="e">
        <f>IF(A542&lt;=$B$8,$B$6+(A542-1)*($B$7-$B$6)/MAX(1,$B$8-1),NA())</f>
        <v>#N/A</v>
      </c>
      <c r="C542" s="9" t="e">
        <f>RADIANS(B542)</f>
        <v>#N/A</v>
      </c>
      <c r="D542" s="9" t="e">
        <f>($B$3+$B$4)*COS(C542)-$B$4*COS((($B$3+$B$4)/$B$4)*C542)</f>
        <v>#N/A</v>
      </c>
      <c r="E542" s="9" t="e">
        <f>($B$3+$B$4)*SIN(C542)-$B$4*SIN((($B$3+$B$4)/$B$4)*C542)</f>
        <v>#N/A</v>
      </c>
      <c r="F542" s="5"/>
      <c r="G542" s="5"/>
      <c r="H542" s="5"/>
    </row>
    <row r="543" spans="1:8" x14ac:dyDescent="0.3">
      <c r="A543" s="9">
        <f>ROW()-ROW($A$14)</f>
        <v>529</v>
      </c>
      <c r="B543" s="9" t="e">
        <f>IF(A543&lt;=$B$8,$B$6+(A543-1)*($B$7-$B$6)/MAX(1,$B$8-1),NA())</f>
        <v>#N/A</v>
      </c>
      <c r="C543" s="9" t="e">
        <f>RADIANS(B543)</f>
        <v>#N/A</v>
      </c>
      <c r="D543" s="9" t="e">
        <f>($B$3+$B$4)*COS(C543)-$B$4*COS((($B$3+$B$4)/$B$4)*C543)</f>
        <v>#N/A</v>
      </c>
      <c r="E543" s="9" t="e">
        <f>($B$3+$B$4)*SIN(C543)-$B$4*SIN((($B$3+$B$4)/$B$4)*C543)</f>
        <v>#N/A</v>
      </c>
      <c r="F543" s="5"/>
      <c r="G543" s="5"/>
      <c r="H543" s="5"/>
    </row>
    <row r="544" spans="1:8" x14ac:dyDescent="0.3">
      <c r="A544" s="9">
        <f>ROW()-ROW($A$14)</f>
        <v>530</v>
      </c>
      <c r="B544" s="9" t="e">
        <f>IF(A544&lt;=$B$8,$B$6+(A544-1)*($B$7-$B$6)/MAX(1,$B$8-1),NA())</f>
        <v>#N/A</v>
      </c>
      <c r="C544" s="9" t="e">
        <f>RADIANS(B544)</f>
        <v>#N/A</v>
      </c>
      <c r="D544" s="9" t="e">
        <f>($B$3+$B$4)*COS(C544)-$B$4*COS((($B$3+$B$4)/$B$4)*C544)</f>
        <v>#N/A</v>
      </c>
      <c r="E544" s="9" t="e">
        <f>($B$3+$B$4)*SIN(C544)-$B$4*SIN((($B$3+$B$4)/$B$4)*C544)</f>
        <v>#N/A</v>
      </c>
      <c r="F544" s="5"/>
      <c r="G544" s="5"/>
      <c r="H544" s="5"/>
    </row>
    <row r="545" spans="1:8" x14ac:dyDescent="0.3">
      <c r="A545" s="9">
        <f>ROW()-ROW($A$14)</f>
        <v>531</v>
      </c>
      <c r="B545" s="9" t="e">
        <f>IF(A545&lt;=$B$8,$B$6+(A545-1)*($B$7-$B$6)/MAX(1,$B$8-1),NA())</f>
        <v>#N/A</v>
      </c>
      <c r="C545" s="9" t="e">
        <f>RADIANS(B545)</f>
        <v>#N/A</v>
      </c>
      <c r="D545" s="9" t="e">
        <f>($B$3+$B$4)*COS(C545)-$B$4*COS((($B$3+$B$4)/$B$4)*C545)</f>
        <v>#N/A</v>
      </c>
      <c r="E545" s="9" t="e">
        <f>($B$3+$B$4)*SIN(C545)-$B$4*SIN((($B$3+$B$4)/$B$4)*C545)</f>
        <v>#N/A</v>
      </c>
      <c r="F545" s="5"/>
      <c r="G545" s="5"/>
      <c r="H545" s="5"/>
    </row>
    <row r="546" spans="1:8" x14ac:dyDescent="0.3">
      <c r="A546" s="9">
        <f>ROW()-ROW($A$14)</f>
        <v>532</v>
      </c>
      <c r="B546" s="9" t="e">
        <f>IF(A546&lt;=$B$8,$B$6+(A546-1)*($B$7-$B$6)/MAX(1,$B$8-1),NA())</f>
        <v>#N/A</v>
      </c>
      <c r="C546" s="9" t="e">
        <f>RADIANS(B546)</f>
        <v>#N/A</v>
      </c>
      <c r="D546" s="9" t="e">
        <f>($B$3+$B$4)*COS(C546)-$B$4*COS((($B$3+$B$4)/$B$4)*C546)</f>
        <v>#N/A</v>
      </c>
      <c r="E546" s="9" t="e">
        <f>($B$3+$B$4)*SIN(C546)-$B$4*SIN((($B$3+$B$4)/$B$4)*C546)</f>
        <v>#N/A</v>
      </c>
      <c r="F546" s="5"/>
      <c r="G546" s="5"/>
      <c r="H546" s="5"/>
    </row>
    <row r="547" spans="1:8" x14ac:dyDescent="0.3">
      <c r="A547" s="9">
        <f>ROW()-ROW($A$14)</f>
        <v>533</v>
      </c>
      <c r="B547" s="9" t="e">
        <f>IF(A547&lt;=$B$8,$B$6+(A547-1)*($B$7-$B$6)/MAX(1,$B$8-1),NA())</f>
        <v>#N/A</v>
      </c>
      <c r="C547" s="9" t="e">
        <f>RADIANS(B547)</f>
        <v>#N/A</v>
      </c>
      <c r="D547" s="9" t="e">
        <f>($B$3+$B$4)*COS(C547)-$B$4*COS((($B$3+$B$4)/$B$4)*C547)</f>
        <v>#N/A</v>
      </c>
      <c r="E547" s="9" t="e">
        <f>($B$3+$B$4)*SIN(C547)-$B$4*SIN((($B$3+$B$4)/$B$4)*C547)</f>
        <v>#N/A</v>
      </c>
      <c r="F547" s="5"/>
      <c r="G547" s="5"/>
      <c r="H547" s="5"/>
    </row>
    <row r="548" spans="1:8" x14ac:dyDescent="0.3">
      <c r="A548" s="9">
        <f>ROW()-ROW($A$14)</f>
        <v>534</v>
      </c>
      <c r="B548" s="9" t="e">
        <f>IF(A548&lt;=$B$8,$B$6+(A548-1)*($B$7-$B$6)/MAX(1,$B$8-1),NA())</f>
        <v>#N/A</v>
      </c>
      <c r="C548" s="9" t="e">
        <f>RADIANS(B548)</f>
        <v>#N/A</v>
      </c>
      <c r="D548" s="9" t="e">
        <f>($B$3+$B$4)*COS(C548)-$B$4*COS((($B$3+$B$4)/$B$4)*C548)</f>
        <v>#N/A</v>
      </c>
      <c r="E548" s="9" t="e">
        <f>($B$3+$B$4)*SIN(C548)-$B$4*SIN((($B$3+$B$4)/$B$4)*C548)</f>
        <v>#N/A</v>
      </c>
      <c r="F548" s="5"/>
      <c r="G548" s="5"/>
      <c r="H548" s="5"/>
    </row>
    <row r="549" spans="1:8" x14ac:dyDescent="0.3">
      <c r="A549" s="9">
        <f>ROW()-ROW($A$14)</f>
        <v>535</v>
      </c>
      <c r="B549" s="9" t="e">
        <f>IF(A549&lt;=$B$8,$B$6+(A549-1)*($B$7-$B$6)/MAX(1,$B$8-1),NA())</f>
        <v>#N/A</v>
      </c>
      <c r="C549" s="9" t="e">
        <f>RADIANS(B549)</f>
        <v>#N/A</v>
      </c>
      <c r="D549" s="9" t="e">
        <f>($B$3+$B$4)*COS(C549)-$B$4*COS((($B$3+$B$4)/$B$4)*C549)</f>
        <v>#N/A</v>
      </c>
      <c r="E549" s="9" t="e">
        <f>($B$3+$B$4)*SIN(C549)-$B$4*SIN((($B$3+$B$4)/$B$4)*C549)</f>
        <v>#N/A</v>
      </c>
      <c r="F549" s="5"/>
      <c r="G549" s="5"/>
      <c r="H549" s="5"/>
    </row>
    <row r="550" spans="1:8" x14ac:dyDescent="0.3">
      <c r="A550" s="9">
        <f>ROW()-ROW($A$14)</f>
        <v>536</v>
      </c>
      <c r="B550" s="9" t="e">
        <f>IF(A550&lt;=$B$8,$B$6+(A550-1)*($B$7-$B$6)/MAX(1,$B$8-1),NA())</f>
        <v>#N/A</v>
      </c>
      <c r="C550" s="9" t="e">
        <f>RADIANS(B550)</f>
        <v>#N/A</v>
      </c>
      <c r="D550" s="9" t="e">
        <f>($B$3+$B$4)*COS(C550)-$B$4*COS((($B$3+$B$4)/$B$4)*C550)</f>
        <v>#N/A</v>
      </c>
      <c r="E550" s="9" t="e">
        <f>($B$3+$B$4)*SIN(C550)-$B$4*SIN((($B$3+$B$4)/$B$4)*C550)</f>
        <v>#N/A</v>
      </c>
      <c r="F550" s="5"/>
      <c r="G550" s="5"/>
      <c r="H550" s="5"/>
    </row>
    <row r="551" spans="1:8" x14ac:dyDescent="0.3">
      <c r="A551" s="9">
        <f>ROW()-ROW($A$14)</f>
        <v>537</v>
      </c>
      <c r="B551" s="9" t="e">
        <f>IF(A551&lt;=$B$8,$B$6+(A551-1)*($B$7-$B$6)/MAX(1,$B$8-1),NA())</f>
        <v>#N/A</v>
      </c>
      <c r="C551" s="9" t="e">
        <f>RADIANS(B551)</f>
        <v>#N/A</v>
      </c>
      <c r="D551" s="9" t="e">
        <f>($B$3+$B$4)*COS(C551)-$B$4*COS((($B$3+$B$4)/$B$4)*C551)</f>
        <v>#N/A</v>
      </c>
      <c r="E551" s="9" t="e">
        <f>($B$3+$B$4)*SIN(C551)-$B$4*SIN((($B$3+$B$4)/$B$4)*C551)</f>
        <v>#N/A</v>
      </c>
      <c r="F551" s="5"/>
      <c r="G551" s="5"/>
      <c r="H551" s="5"/>
    </row>
    <row r="552" spans="1:8" x14ac:dyDescent="0.3">
      <c r="A552" s="9">
        <f>ROW()-ROW($A$14)</f>
        <v>538</v>
      </c>
      <c r="B552" s="9" t="e">
        <f>IF(A552&lt;=$B$8,$B$6+(A552-1)*($B$7-$B$6)/MAX(1,$B$8-1),NA())</f>
        <v>#N/A</v>
      </c>
      <c r="C552" s="9" t="e">
        <f>RADIANS(B552)</f>
        <v>#N/A</v>
      </c>
      <c r="D552" s="9" t="e">
        <f>($B$3+$B$4)*COS(C552)-$B$4*COS((($B$3+$B$4)/$B$4)*C552)</f>
        <v>#N/A</v>
      </c>
      <c r="E552" s="9" t="e">
        <f>($B$3+$B$4)*SIN(C552)-$B$4*SIN((($B$3+$B$4)/$B$4)*C552)</f>
        <v>#N/A</v>
      </c>
      <c r="F552" s="5"/>
      <c r="G552" s="5"/>
      <c r="H552" s="5"/>
    </row>
    <row r="553" spans="1:8" x14ac:dyDescent="0.3">
      <c r="A553" s="9">
        <f>ROW()-ROW($A$14)</f>
        <v>539</v>
      </c>
      <c r="B553" s="9" t="e">
        <f>IF(A553&lt;=$B$8,$B$6+(A553-1)*($B$7-$B$6)/MAX(1,$B$8-1),NA())</f>
        <v>#N/A</v>
      </c>
      <c r="C553" s="9" t="e">
        <f>RADIANS(B553)</f>
        <v>#N/A</v>
      </c>
      <c r="D553" s="9" t="e">
        <f>($B$3+$B$4)*COS(C553)-$B$4*COS((($B$3+$B$4)/$B$4)*C553)</f>
        <v>#N/A</v>
      </c>
      <c r="E553" s="9" t="e">
        <f>($B$3+$B$4)*SIN(C553)-$B$4*SIN((($B$3+$B$4)/$B$4)*C553)</f>
        <v>#N/A</v>
      </c>
      <c r="F553" s="5"/>
      <c r="G553" s="5"/>
      <c r="H553" s="5"/>
    </row>
    <row r="554" spans="1:8" x14ac:dyDescent="0.3">
      <c r="A554" s="9">
        <f>ROW()-ROW($A$14)</f>
        <v>540</v>
      </c>
      <c r="B554" s="9" t="e">
        <f>IF(A554&lt;=$B$8,$B$6+(A554-1)*($B$7-$B$6)/MAX(1,$B$8-1),NA())</f>
        <v>#N/A</v>
      </c>
      <c r="C554" s="9" t="e">
        <f>RADIANS(B554)</f>
        <v>#N/A</v>
      </c>
      <c r="D554" s="9" t="e">
        <f>($B$3+$B$4)*COS(C554)-$B$4*COS((($B$3+$B$4)/$B$4)*C554)</f>
        <v>#N/A</v>
      </c>
      <c r="E554" s="9" t="e">
        <f>($B$3+$B$4)*SIN(C554)-$B$4*SIN((($B$3+$B$4)/$B$4)*C554)</f>
        <v>#N/A</v>
      </c>
      <c r="F554" s="5"/>
      <c r="G554" s="5"/>
      <c r="H554" s="5"/>
    </row>
    <row r="555" spans="1:8" x14ac:dyDescent="0.3">
      <c r="A555" s="9">
        <f>ROW()-ROW($A$14)</f>
        <v>541</v>
      </c>
      <c r="B555" s="9" t="e">
        <f>IF(A555&lt;=$B$8,$B$6+(A555-1)*($B$7-$B$6)/MAX(1,$B$8-1),NA())</f>
        <v>#N/A</v>
      </c>
      <c r="C555" s="9" t="e">
        <f>RADIANS(B555)</f>
        <v>#N/A</v>
      </c>
      <c r="D555" s="9" t="e">
        <f>($B$3+$B$4)*COS(C555)-$B$4*COS((($B$3+$B$4)/$B$4)*C555)</f>
        <v>#N/A</v>
      </c>
      <c r="E555" s="9" t="e">
        <f>($B$3+$B$4)*SIN(C555)-$B$4*SIN((($B$3+$B$4)/$B$4)*C555)</f>
        <v>#N/A</v>
      </c>
      <c r="F555" s="5"/>
      <c r="G555" s="5"/>
      <c r="H555" s="5"/>
    </row>
    <row r="556" spans="1:8" x14ac:dyDescent="0.3">
      <c r="A556" s="9">
        <f>ROW()-ROW($A$14)</f>
        <v>542</v>
      </c>
      <c r="B556" s="9" t="e">
        <f>IF(A556&lt;=$B$8,$B$6+(A556-1)*($B$7-$B$6)/MAX(1,$B$8-1),NA())</f>
        <v>#N/A</v>
      </c>
      <c r="C556" s="9" t="e">
        <f>RADIANS(B556)</f>
        <v>#N/A</v>
      </c>
      <c r="D556" s="9" t="e">
        <f>($B$3+$B$4)*COS(C556)-$B$4*COS((($B$3+$B$4)/$B$4)*C556)</f>
        <v>#N/A</v>
      </c>
      <c r="E556" s="9" t="e">
        <f>($B$3+$B$4)*SIN(C556)-$B$4*SIN((($B$3+$B$4)/$B$4)*C556)</f>
        <v>#N/A</v>
      </c>
      <c r="F556" s="5"/>
      <c r="G556" s="5"/>
      <c r="H556" s="5"/>
    </row>
    <row r="557" spans="1:8" x14ac:dyDescent="0.3">
      <c r="A557" s="9">
        <f>ROW()-ROW($A$14)</f>
        <v>543</v>
      </c>
      <c r="B557" s="9" t="e">
        <f>IF(A557&lt;=$B$8,$B$6+(A557-1)*($B$7-$B$6)/MAX(1,$B$8-1),NA())</f>
        <v>#N/A</v>
      </c>
      <c r="C557" s="9" t="e">
        <f>RADIANS(B557)</f>
        <v>#N/A</v>
      </c>
      <c r="D557" s="9" t="e">
        <f>($B$3+$B$4)*COS(C557)-$B$4*COS((($B$3+$B$4)/$B$4)*C557)</f>
        <v>#N/A</v>
      </c>
      <c r="E557" s="9" t="e">
        <f>($B$3+$B$4)*SIN(C557)-$B$4*SIN((($B$3+$B$4)/$B$4)*C557)</f>
        <v>#N/A</v>
      </c>
      <c r="F557" s="5"/>
      <c r="G557" s="5"/>
      <c r="H557" s="5"/>
    </row>
    <row r="558" spans="1:8" x14ac:dyDescent="0.3">
      <c r="A558" s="9">
        <f>ROW()-ROW($A$14)</f>
        <v>544</v>
      </c>
      <c r="B558" s="9" t="e">
        <f>IF(A558&lt;=$B$8,$B$6+(A558-1)*($B$7-$B$6)/MAX(1,$B$8-1),NA())</f>
        <v>#N/A</v>
      </c>
      <c r="C558" s="9" t="e">
        <f>RADIANS(B558)</f>
        <v>#N/A</v>
      </c>
      <c r="D558" s="9" t="e">
        <f>($B$3+$B$4)*COS(C558)-$B$4*COS((($B$3+$B$4)/$B$4)*C558)</f>
        <v>#N/A</v>
      </c>
      <c r="E558" s="9" t="e">
        <f>($B$3+$B$4)*SIN(C558)-$B$4*SIN((($B$3+$B$4)/$B$4)*C558)</f>
        <v>#N/A</v>
      </c>
      <c r="F558" s="5"/>
      <c r="G558" s="5"/>
      <c r="H558" s="5"/>
    </row>
    <row r="559" spans="1:8" x14ac:dyDescent="0.3">
      <c r="A559" s="9">
        <f>ROW()-ROW($A$14)</f>
        <v>545</v>
      </c>
      <c r="B559" s="9" t="e">
        <f>IF(A559&lt;=$B$8,$B$6+(A559-1)*($B$7-$B$6)/MAX(1,$B$8-1),NA())</f>
        <v>#N/A</v>
      </c>
      <c r="C559" s="9" t="e">
        <f>RADIANS(B559)</f>
        <v>#N/A</v>
      </c>
      <c r="D559" s="9" t="e">
        <f>($B$3+$B$4)*COS(C559)-$B$4*COS((($B$3+$B$4)/$B$4)*C559)</f>
        <v>#N/A</v>
      </c>
      <c r="E559" s="9" t="e">
        <f>($B$3+$B$4)*SIN(C559)-$B$4*SIN((($B$3+$B$4)/$B$4)*C559)</f>
        <v>#N/A</v>
      </c>
      <c r="F559" s="5"/>
      <c r="G559" s="5"/>
      <c r="H559" s="5"/>
    </row>
    <row r="560" spans="1:8" x14ac:dyDescent="0.3">
      <c r="A560" s="9">
        <f>ROW()-ROW($A$14)</f>
        <v>546</v>
      </c>
      <c r="B560" s="9" t="e">
        <f>IF(A560&lt;=$B$8,$B$6+(A560-1)*($B$7-$B$6)/MAX(1,$B$8-1),NA())</f>
        <v>#N/A</v>
      </c>
      <c r="C560" s="9" t="e">
        <f>RADIANS(B560)</f>
        <v>#N/A</v>
      </c>
      <c r="D560" s="9" t="e">
        <f>($B$3+$B$4)*COS(C560)-$B$4*COS((($B$3+$B$4)/$B$4)*C560)</f>
        <v>#N/A</v>
      </c>
      <c r="E560" s="9" t="e">
        <f>($B$3+$B$4)*SIN(C560)-$B$4*SIN((($B$3+$B$4)/$B$4)*C560)</f>
        <v>#N/A</v>
      </c>
      <c r="F560" s="5"/>
      <c r="G560" s="5"/>
      <c r="H560" s="5"/>
    </row>
    <row r="561" spans="1:8" x14ac:dyDescent="0.3">
      <c r="A561" s="9">
        <f>ROW()-ROW($A$14)</f>
        <v>547</v>
      </c>
      <c r="B561" s="9" t="e">
        <f>IF(A561&lt;=$B$8,$B$6+(A561-1)*($B$7-$B$6)/MAX(1,$B$8-1),NA())</f>
        <v>#N/A</v>
      </c>
      <c r="C561" s="9" t="e">
        <f>RADIANS(B561)</f>
        <v>#N/A</v>
      </c>
      <c r="D561" s="9" t="e">
        <f>($B$3+$B$4)*COS(C561)-$B$4*COS((($B$3+$B$4)/$B$4)*C561)</f>
        <v>#N/A</v>
      </c>
      <c r="E561" s="9" t="e">
        <f>($B$3+$B$4)*SIN(C561)-$B$4*SIN((($B$3+$B$4)/$B$4)*C561)</f>
        <v>#N/A</v>
      </c>
      <c r="F561" s="5"/>
      <c r="G561" s="5"/>
      <c r="H561" s="5"/>
    </row>
    <row r="562" spans="1:8" x14ac:dyDescent="0.3">
      <c r="A562" s="9">
        <f>ROW()-ROW($A$14)</f>
        <v>548</v>
      </c>
      <c r="B562" s="9" t="e">
        <f>IF(A562&lt;=$B$8,$B$6+(A562-1)*($B$7-$B$6)/MAX(1,$B$8-1),NA())</f>
        <v>#N/A</v>
      </c>
      <c r="C562" s="9" t="e">
        <f>RADIANS(B562)</f>
        <v>#N/A</v>
      </c>
      <c r="D562" s="9" t="e">
        <f>($B$3+$B$4)*COS(C562)-$B$4*COS((($B$3+$B$4)/$B$4)*C562)</f>
        <v>#N/A</v>
      </c>
      <c r="E562" s="9" t="e">
        <f>($B$3+$B$4)*SIN(C562)-$B$4*SIN((($B$3+$B$4)/$B$4)*C562)</f>
        <v>#N/A</v>
      </c>
      <c r="F562" s="5"/>
      <c r="G562" s="5"/>
      <c r="H562" s="5"/>
    </row>
    <row r="563" spans="1:8" x14ac:dyDescent="0.3">
      <c r="A563" s="9">
        <f>ROW()-ROW($A$14)</f>
        <v>549</v>
      </c>
      <c r="B563" s="9" t="e">
        <f>IF(A563&lt;=$B$8,$B$6+(A563-1)*($B$7-$B$6)/MAX(1,$B$8-1),NA())</f>
        <v>#N/A</v>
      </c>
      <c r="C563" s="9" t="e">
        <f>RADIANS(B563)</f>
        <v>#N/A</v>
      </c>
      <c r="D563" s="9" t="e">
        <f>($B$3+$B$4)*COS(C563)-$B$4*COS((($B$3+$B$4)/$B$4)*C563)</f>
        <v>#N/A</v>
      </c>
      <c r="E563" s="9" t="e">
        <f>($B$3+$B$4)*SIN(C563)-$B$4*SIN((($B$3+$B$4)/$B$4)*C563)</f>
        <v>#N/A</v>
      </c>
      <c r="F563" s="5"/>
      <c r="G563" s="5"/>
      <c r="H563" s="5"/>
    </row>
    <row r="564" spans="1:8" x14ac:dyDescent="0.3">
      <c r="A564" s="9">
        <f>ROW()-ROW($A$14)</f>
        <v>550</v>
      </c>
      <c r="B564" s="9" t="e">
        <f>IF(A564&lt;=$B$8,$B$6+(A564-1)*($B$7-$B$6)/MAX(1,$B$8-1),NA())</f>
        <v>#N/A</v>
      </c>
      <c r="C564" s="9" t="e">
        <f>RADIANS(B564)</f>
        <v>#N/A</v>
      </c>
      <c r="D564" s="9" t="e">
        <f>($B$3+$B$4)*COS(C564)-$B$4*COS((($B$3+$B$4)/$B$4)*C564)</f>
        <v>#N/A</v>
      </c>
      <c r="E564" s="9" t="e">
        <f>($B$3+$B$4)*SIN(C564)-$B$4*SIN((($B$3+$B$4)/$B$4)*C564)</f>
        <v>#N/A</v>
      </c>
      <c r="F564" s="5"/>
      <c r="G564" s="5"/>
      <c r="H564" s="5"/>
    </row>
    <row r="565" spans="1:8" x14ac:dyDescent="0.3">
      <c r="A565" s="9">
        <f>ROW()-ROW($A$14)</f>
        <v>551</v>
      </c>
      <c r="B565" s="9" t="e">
        <f>IF(A565&lt;=$B$8,$B$6+(A565-1)*($B$7-$B$6)/MAX(1,$B$8-1),NA())</f>
        <v>#N/A</v>
      </c>
      <c r="C565" s="9" t="e">
        <f>RADIANS(B565)</f>
        <v>#N/A</v>
      </c>
      <c r="D565" s="9" t="e">
        <f>($B$3+$B$4)*COS(C565)-$B$4*COS((($B$3+$B$4)/$B$4)*C565)</f>
        <v>#N/A</v>
      </c>
      <c r="E565" s="9" t="e">
        <f>($B$3+$B$4)*SIN(C565)-$B$4*SIN((($B$3+$B$4)/$B$4)*C565)</f>
        <v>#N/A</v>
      </c>
      <c r="F565" s="5"/>
      <c r="G565" s="5"/>
      <c r="H565" s="5"/>
    </row>
    <row r="566" spans="1:8" x14ac:dyDescent="0.3">
      <c r="A566" s="9">
        <f>ROW()-ROW($A$14)</f>
        <v>552</v>
      </c>
      <c r="B566" s="9" t="e">
        <f>IF(A566&lt;=$B$8,$B$6+(A566-1)*($B$7-$B$6)/MAX(1,$B$8-1),NA())</f>
        <v>#N/A</v>
      </c>
      <c r="C566" s="9" t="e">
        <f>RADIANS(B566)</f>
        <v>#N/A</v>
      </c>
      <c r="D566" s="9" t="e">
        <f>($B$3+$B$4)*COS(C566)-$B$4*COS((($B$3+$B$4)/$B$4)*C566)</f>
        <v>#N/A</v>
      </c>
      <c r="E566" s="9" t="e">
        <f>($B$3+$B$4)*SIN(C566)-$B$4*SIN((($B$3+$B$4)/$B$4)*C566)</f>
        <v>#N/A</v>
      </c>
      <c r="F566" s="5"/>
      <c r="G566" s="5"/>
      <c r="H566" s="5"/>
    </row>
    <row r="567" spans="1:8" x14ac:dyDescent="0.3">
      <c r="A567" s="9">
        <f>ROW()-ROW($A$14)</f>
        <v>553</v>
      </c>
      <c r="B567" s="9" t="e">
        <f>IF(A567&lt;=$B$8,$B$6+(A567-1)*($B$7-$B$6)/MAX(1,$B$8-1),NA())</f>
        <v>#N/A</v>
      </c>
      <c r="C567" s="9" t="e">
        <f>RADIANS(B567)</f>
        <v>#N/A</v>
      </c>
      <c r="D567" s="9" t="e">
        <f>($B$3+$B$4)*COS(C567)-$B$4*COS((($B$3+$B$4)/$B$4)*C567)</f>
        <v>#N/A</v>
      </c>
      <c r="E567" s="9" t="e">
        <f>($B$3+$B$4)*SIN(C567)-$B$4*SIN((($B$3+$B$4)/$B$4)*C567)</f>
        <v>#N/A</v>
      </c>
      <c r="F567" s="5"/>
      <c r="G567" s="5"/>
      <c r="H567" s="5"/>
    </row>
    <row r="568" spans="1:8" x14ac:dyDescent="0.3">
      <c r="A568" s="9">
        <f>ROW()-ROW($A$14)</f>
        <v>554</v>
      </c>
      <c r="B568" s="9" t="e">
        <f>IF(A568&lt;=$B$8,$B$6+(A568-1)*($B$7-$B$6)/MAX(1,$B$8-1),NA())</f>
        <v>#N/A</v>
      </c>
      <c r="C568" s="9" t="e">
        <f>RADIANS(B568)</f>
        <v>#N/A</v>
      </c>
      <c r="D568" s="9" t="e">
        <f>($B$3+$B$4)*COS(C568)-$B$4*COS((($B$3+$B$4)/$B$4)*C568)</f>
        <v>#N/A</v>
      </c>
      <c r="E568" s="9" t="e">
        <f>($B$3+$B$4)*SIN(C568)-$B$4*SIN((($B$3+$B$4)/$B$4)*C568)</f>
        <v>#N/A</v>
      </c>
      <c r="F568" s="5"/>
      <c r="G568" s="5"/>
      <c r="H568" s="5"/>
    </row>
    <row r="569" spans="1:8" x14ac:dyDescent="0.3">
      <c r="A569" s="9">
        <f>ROW()-ROW($A$14)</f>
        <v>555</v>
      </c>
      <c r="B569" s="9" t="e">
        <f>IF(A569&lt;=$B$8,$B$6+(A569-1)*($B$7-$B$6)/MAX(1,$B$8-1),NA())</f>
        <v>#N/A</v>
      </c>
      <c r="C569" s="9" t="e">
        <f>RADIANS(B569)</f>
        <v>#N/A</v>
      </c>
      <c r="D569" s="9" t="e">
        <f>($B$3+$B$4)*COS(C569)-$B$4*COS((($B$3+$B$4)/$B$4)*C569)</f>
        <v>#N/A</v>
      </c>
      <c r="E569" s="9" t="e">
        <f>($B$3+$B$4)*SIN(C569)-$B$4*SIN((($B$3+$B$4)/$B$4)*C569)</f>
        <v>#N/A</v>
      </c>
      <c r="F569" s="5"/>
      <c r="G569" s="5"/>
      <c r="H569" s="5"/>
    </row>
    <row r="570" spans="1:8" x14ac:dyDescent="0.3">
      <c r="A570" s="9">
        <f>ROW()-ROW($A$14)</f>
        <v>556</v>
      </c>
      <c r="B570" s="9" t="e">
        <f>IF(A570&lt;=$B$8,$B$6+(A570-1)*($B$7-$B$6)/MAX(1,$B$8-1),NA())</f>
        <v>#N/A</v>
      </c>
      <c r="C570" s="9" t="e">
        <f>RADIANS(B570)</f>
        <v>#N/A</v>
      </c>
      <c r="D570" s="9" t="e">
        <f>($B$3+$B$4)*COS(C570)-$B$4*COS((($B$3+$B$4)/$B$4)*C570)</f>
        <v>#N/A</v>
      </c>
      <c r="E570" s="9" t="e">
        <f>($B$3+$B$4)*SIN(C570)-$B$4*SIN((($B$3+$B$4)/$B$4)*C570)</f>
        <v>#N/A</v>
      </c>
      <c r="F570" s="5"/>
      <c r="G570" s="5"/>
      <c r="H570" s="5"/>
    </row>
    <row r="571" spans="1:8" x14ac:dyDescent="0.3">
      <c r="A571" s="9">
        <f>ROW()-ROW($A$14)</f>
        <v>557</v>
      </c>
      <c r="B571" s="9" t="e">
        <f>IF(A571&lt;=$B$8,$B$6+(A571-1)*($B$7-$B$6)/MAX(1,$B$8-1),NA())</f>
        <v>#N/A</v>
      </c>
      <c r="C571" s="9" t="e">
        <f>RADIANS(B571)</f>
        <v>#N/A</v>
      </c>
      <c r="D571" s="9" t="e">
        <f>($B$3+$B$4)*COS(C571)-$B$4*COS((($B$3+$B$4)/$B$4)*C571)</f>
        <v>#N/A</v>
      </c>
      <c r="E571" s="9" t="e">
        <f>($B$3+$B$4)*SIN(C571)-$B$4*SIN((($B$3+$B$4)/$B$4)*C571)</f>
        <v>#N/A</v>
      </c>
      <c r="F571" s="5"/>
      <c r="G571" s="5"/>
      <c r="H571" s="5"/>
    </row>
    <row r="572" spans="1:8" x14ac:dyDescent="0.3">
      <c r="A572" s="9">
        <f>ROW()-ROW($A$14)</f>
        <v>558</v>
      </c>
      <c r="B572" s="9" t="e">
        <f>IF(A572&lt;=$B$8,$B$6+(A572-1)*($B$7-$B$6)/MAX(1,$B$8-1),NA())</f>
        <v>#N/A</v>
      </c>
      <c r="C572" s="9" t="e">
        <f>RADIANS(B572)</f>
        <v>#N/A</v>
      </c>
      <c r="D572" s="9" t="e">
        <f>($B$3+$B$4)*COS(C572)-$B$4*COS((($B$3+$B$4)/$B$4)*C572)</f>
        <v>#N/A</v>
      </c>
      <c r="E572" s="9" t="e">
        <f>($B$3+$B$4)*SIN(C572)-$B$4*SIN((($B$3+$B$4)/$B$4)*C572)</f>
        <v>#N/A</v>
      </c>
      <c r="F572" s="5"/>
      <c r="G572" s="5"/>
      <c r="H572" s="5"/>
    </row>
    <row r="573" spans="1:8" x14ac:dyDescent="0.3">
      <c r="A573" s="9">
        <f>ROW()-ROW($A$14)</f>
        <v>559</v>
      </c>
      <c r="B573" s="9" t="e">
        <f>IF(A573&lt;=$B$8,$B$6+(A573-1)*($B$7-$B$6)/MAX(1,$B$8-1),NA())</f>
        <v>#N/A</v>
      </c>
      <c r="C573" s="9" t="e">
        <f>RADIANS(B573)</f>
        <v>#N/A</v>
      </c>
      <c r="D573" s="9" t="e">
        <f>($B$3+$B$4)*COS(C573)-$B$4*COS((($B$3+$B$4)/$B$4)*C573)</f>
        <v>#N/A</v>
      </c>
      <c r="E573" s="9" t="e">
        <f>($B$3+$B$4)*SIN(C573)-$B$4*SIN((($B$3+$B$4)/$B$4)*C573)</f>
        <v>#N/A</v>
      </c>
      <c r="F573" s="5"/>
      <c r="G573" s="5"/>
      <c r="H573" s="5"/>
    </row>
    <row r="574" spans="1:8" x14ac:dyDescent="0.3">
      <c r="A574" s="9">
        <f>ROW()-ROW($A$14)</f>
        <v>560</v>
      </c>
      <c r="B574" s="9" t="e">
        <f>IF(A574&lt;=$B$8,$B$6+(A574-1)*($B$7-$B$6)/MAX(1,$B$8-1),NA())</f>
        <v>#N/A</v>
      </c>
      <c r="C574" s="9" t="e">
        <f>RADIANS(B574)</f>
        <v>#N/A</v>
      </c>
      <c r="D574" s="9" t="e">
        <f>($B$3+$B$4)*COS(C574)-$B$4*COS((($B$3+$B$4)/$B$4)*C574)</f>
        <v>#N/A</v>
      </c>
      <c r="E574" s="9" t="e">
        <f>($B$3+$B$4)*SIN(C574)-$B$4*SIN((($B$3+$B$4)/$B$4)*C574)</f>
        <v>#N/A</v>
      </c>
      <c r="F574" s="5"/>
      <c r="G574" s="5"/>
      <c r="H574" s="5"/>
    </row>
    <row r="575" spans="1:8" x14ac:dyDescent="0.3">
      <c r="A575" s="9">
        <f>ROW()-ROW($A$14)</f>
        <v>561</v>
      </c>
      <c r="B575" s="9" t="e">
        <f>IF(A575&lt;=$B$8,$B$6+(A575-1)*($B$7-$B$6)/MAX(1,$B$8-1),NA())</f>
        <v>#N/A</v>
      </c>
      <c r="C575" s="9" t="e">
        <f>RADIANS(B575)</f>
        <v>#N/A</v>
      </c>
      <c r="D575" s="9" t="e">
        <f>($B$3+$B$4)*COS(C575)-$B$4*COS((($B$3+$B$4)/$B$4)*C575)</f>
        <v>#N/A</v>
      </c>
      <c r="E575" s="9" t="e">
        <f>($B$3+$B$4)*SIN(C575)-$B$4*SIN((($B$3+$B$4)/$B$4)*C575)</f>
        <v>#N/A</v>
      </c>
      <c r="F575" s="5"/>
      <c r="G575" s="5"/>
      <c r="H575" s="5"/>
    </row>
    <row r="576" spans="1:8" x14ac:dyDescent="0.3">
      <c r="A576" s="9">
        <f>ROW()-ROW($A$14)</f>
        <v>562</v>
      </c>
      <c r="B576" s="9" t="e">
        <f>IF(A576&lt;=$B$8,$B$6+(A576-1)*($B$7-$B$6)/MAX(1,$B$8-1),NA())</f>
        <v>#N/A</v>
      </c>
      <c r="C576" s="9" t="e">
        <f>RADIANS(B576)</f>
        <v>#N/A</v>
      </c>
      <c r="D576" s="9" t="e">
        <f>($B$3+$B$4)*COS(C576)-$B$4*COS((($B$3+$B$4)/$B$4)*C576)</f>
        <v>#N/A</v>
      </c>
      <c r="E576" s="9" t="e">
        <f>($B$3+$B$4)*SIN(C576)-$B$4*SIN((($B$3+$B$4)/$B$4)*C576)</f>
        <v>#N/A</v>
      </c>
      <c r="F576" s="5"/>
      <c r="G576" s="5"/>
      <c r="H576" s="5"/>
    </row>
    <row r="577" spans="1:8" x14ac:dyDescent="0.3">
      <c r="A577" s="9">
        <f>ROW()-ROW($A$14)</f>
        <v>563</v>
      </c>
      <c r="B577" s="9" t="e">
        <f>IF(A577&lt;=$B$8,$B$6+(A577-1)*($B$7-$B$6)/MAX(1,$B$8-1),NA())</f>
        <v>#N/A</v>
      </c>
      <c r="C577" s="9" t="e">
        <f>RADIANS(B577)</f>
        <v>#N/A</v>
      </c>
      <c r="D577" s="9" t="e">
        <f>($B$3+$B$4)*COS(C577)-$B$4*COS((($B$3+$B$4)/$B$4)*C577)</f>
        <v>#N/A</v>
      </c>
      <c r="E577" s="9" t="e">
        <f>($B$3+$B$4)*SIN(C577)-$B$4*SIN((($B$3+$B$4)/$B$4)*C577)</f>
        <v>#N/A</v>
      </c>
      <c r="F577" s="5"/>
      <c r="G577" s="5"/>
      <c r="H577" s="5"/>
    </row>
    <row r="578" spans="1:8" x14ac:dyDescent="0.3">
      <c r="A578" s="9">
        <f>ROW()-ROW($A$14)</f>
        <v>564</v>
      </c>
      <c r="B578" s="9" t="e">
        <f>IF(A578&lt;=$B$8,$B$6+(A578-1)*($B$7-$B$6)/MAX(1,$B$8-1),NA())</f>
        <v>#N/A</v>
      </c>
      <c r="C578" s="9" t="e">
        <f>RADIANS(B578)</f>
        <v>#N/A</v>
      </c>
      <c r="D578" s="9" t="e">
        <f>($B$3+$B$4)*COS(C578)-$B$4*COS((($B$3+$B$4)/$B$4)*C578)</f>
        <v>#N/A</v>
      </c>
      <c r="E578" s="9" t="e">
        <f>($B$3+$B$4)*SIN(C578)-$B$4*SIN((($B$3+$B$4)/$B$4)*C578)</f>
        <v>#N/A</v>
      </c>
      <c r="F578" s="5"/>
      <c r="G578" s="5"/>
      <c r="H578" s="5"/>
    </row>
    <row r="579" spans="1:8" x14ac:dyDescent="0.3">
      <c r="A579" s="9">
        <f>ROW()-ROW($A$14)</f>
        <v>565</v>
      </c>
      <c r="B579" s="9" t="e">
        <f>IF(A579&lt;=$B$8,$B$6+(A579-1)*($B$7-$B$6)/MAX(1,$B$8-1),NA())</f>
        <v>#N/A</v>
      </c>
      <c r="C579" s="9" t="e">
        <f>RADIANS(B579)</f>
        <v>#N/A</v>
      </c>
      <c r="D579" s="9" t="e">
        <f>($B$3+$B$4)*COS(C579)-$B$4*COS((($B$3+$B$4)/$B$4)*C579)</f>
        <v>#N/A</v>
      </c>
      <c r="E579" s="9" t="e">
        <f>($B$3+$B$4)*SIN(C579)-$B$4*SIN((($B$3+$B$4)/$B$4)*C579)</f>
        <v>#N/A</v>
      </c>
      <c r="F579" s="5"/>
      <c r="G579" s="5"/>
      <c r="H579" s="5"/>
    </row>
    <row r="580" spans="1:8" x14ac:dyDescent="0.3">
      <c r="A580" s="9">
        <f>ROW()-ROW($A$14)</f>
        <v>566</v>
      </c>
      <c r="B580" s="9" t="e">
        <f>IF(A580&lt;=$B$8,$B$6+(A580-1)*($B$7-$B$6)/MAX(1,$B$8-1),NA())</f>
        <v>#N/A</v>
      </c>
      <c r="C580" s="9" t="e">
        <f>RADIANS(B580)</f>
        <v>#N/A</v>
      </c>
      <c r="D580" s="9" t="e">
        <f>($B$3+$B$4)*COS(C580)-$B$4*COS((($B$3+$B$4)/$B$4)*C580)</f>
        <v>#N/A</v>
      </c>
      <c r="E580" s="9" t="e">
        <f>($B$3+$B$4)*SIN(C580)-$B$4*SIN((($B$3+$B$4)/$B$4)*C580)</f>
        <v>#N/A</v>
      </c>
      <c r="F580" s="5"/>
      <c r="G580" s="5"/>
      <c r="H580" s="5"/>
    </row>
    <row r="581" spans="1:8" x14ac:dyDescent="0.3">
      <c r="A581" s="9">
        <f>ROW()-ROW($A$14)</f>
        <v>567</v>
      </c>
      <c r="B581" s="9" t="e">
        <f>IF(A581&lt;=$B$8,$B$6+(A581-1)*($B$7-$B$6)/MAX(1,$B$8-1),NA())</f>
        <v>#N/A</v>
      </c>
      <c r="C581" s="9" t="e">
        <f>RADIANS(B581)</f>
        <v>#N/A</v>
      </c>
      <c r="D581" s="9" t="e">
        <f>($B$3+$B$4)*COS(C581)-$B$4*COS((($B$3+$B$4)/$B$4)*C581)</f>
        <v>#N/A</v>
      </c>
      <c r="E581" s="9" t="e">
        <f>($B$3+$B$4)*SIN(C581)-$B$4*SIN((($B$3+$B$4)/$B$4)*C581)</f>
        <v>#N/A</v>
      </c>
      <c r="F581" s="5"/>
      <c r="G581" s="5"/>
      <c r="H581" s="5"/>
    </row>
    <row r="582" spans="1:8" x14ac:dyDescent="0.3">
      <c r="A582" s="9">
        <f>ROW()-ROW($A$14)</f>
        <v>568</v>
      </c>
      <c r="B582" s="9" t="e">
        <f>IF(A582&lt;=$B$8,$B$6+(A582-1)*($B$7-$B$6)/MAX(1,$B$8-1),NA())</f>
        <v>#N/A</v>
      </c>
      <c r="C582" s="9" t="e">
        <f>RADIANS(B582)</f>
        <v>#N/A</v>
      </c>
      <c r="D582" s="9" t="e">
        <f>($B$3+$B$4)*COS(C582)-$B$4*COS((($B$3+$B$4)/$B$4)*C582)</f>
        <v>#N/A</v>
      </c>
      <c r="E582" s="9" t="e">
        <f>($B$3+$B$4)*SIN(C582)-$B$4*SIN((($B$3+$B$4)/$B$4)*C582)</f>
        <v>#N/A</v>
      </c>
      <c r="F582" s="5"/>
      <c r="G582" s="5"/>
      <c r="H582" s="5"/>
    </row>
    <row r="583" spans="1:8" x14ac:dyDescent="0.3">
      <c r="A583" s="9">
        <f>ROW()-ROW($A$14)</f>
        <v>569</v>
      </c>
      <c r="B583" s="9" t="e">
        <f>IF(A583&lt;=$B$8,$B$6+(A583-1)*($B$7-$B$6)/MAX(1,$B$8-1),NA())</f>
        <v>#N/A</v>
      </c>
      <c r="C583" s="9" t="e">
        <f>RADIANS(B583)</f>
        <v>#N/A</v>
      </c>
      <c r="D583" s="9" t="e">
        <f>($B$3+$B$4)*COS(C583)-$B$4*COS((($B$3+$B$4)/$B$4)*C583)</f>
        <v>#N/A</v>
      </c>
      <c r="E583" s="9" t="e">
        <f>($B$3+$B$4)*SIN(C583)-$B$4*SIN((($B$3+$B$4)/$B$4)*C583)</f>
        <v>#N/A</v>
      </c>
      <c r="F583" s="5"/>
      <c r="G583" s="5"/>
      <c r="H583" s="5"/>
    </row>
    <row r="584" spans="1:8" x14ac:dyDescent="0.3">
      <c r="A584" s="9">
        <f>ROW()-ROW($A$14)</f>
        <v>570</v>
      </c>
      <c r="B584" s="9" t="e">
        <f>IF(A584&lt;=$B$8,$B$6+(A584-1)*($B$7-$B$6)/MAX(1,$B$8-1),NA())</f>
        <v>#N/A</v>
      </c>
      <c r="C584" s="9" t="e">
        <f>RADIANS(B584)</f>
        <v>#N/A</v>
      </c>
      <c r="D584" s="9" t="e">
        <f>($B$3+$B$4)*COS(C584)-$B$4*COS((($B$3+$B$4)/$B$4)*C584)</f>
        <v>#N/A</v>
      </c>
      <c r="E584" s="9" t="e">
        <f>($B$3+$B$4)*SIN(C584)-$B$4*SIN((($B$3+$B$4)/$B$4)*C584)</f>
        <v>#N/A</v>
      </c>
      <c r="F584" s="5"/>
      <c r="G584" s="5"/>
      <c r="H584" s="5"/>
    </row>
    <row r="585" spans="1:8" x14ac:dyDescent="0.3">
      <c r="A585" s="9">
        <f>ROW()-ROW($A$14)</f>
        <v>571</v>
      </c>
      <c r="B585" s="9" t="e">
        <f>IF(A585&lt;=$B$8,$B$6+(A585-1)*($B$7-$B$6)/MAX(1,$B$8-1),NA())</f>
        <v>#N/A</v>
      </c>
      <c r="C585" s="9" t="e">
        <f>RADIANS(B585)</f>
        <v>#N/A</v>
      </c>
      <c r="D585" s="9" t="e">
        <f>($B$3+$B$4)*COS(C585)-$B$4*COS((($B$3+$B$4)/$B$4)*C585)</f>
        <v>#N/A</v>
      </c>
      <c r="E585" s="9" t="e">
        <f>($B$3+$B$4)*SIN(C585)-$B$4*SIN((($B$3+$B$4)/$B$4)*C585)</f>
        <v>#N/A</v>
      </c>
      <c r="F585" s="5"/>
      <c r="G585" s="5"/>
      <c r="H585" s="5"/>
    </row>
    <row r="586" spans="1:8" x14ac:dyDescent="0.3">
      <c r="A586" s="9">
        <f>ROW()-ROW($A$14)</f>
        <v>572</v>
      </c>
      <c r="B586" s="9" t="e">
        <f>IF(A586&lt;=$B$8,$B$6+(A586-1)*($B$7-$B$6)/MAX(1,$B$8-1),NA())</f>
        <v>#N/A</v>
      </c>
      <c r="C586" s="9" t="e">
        <f>RADIANS(B586)</f>
        <v>#N/A</v>
      </c>
      <c r="D586" s="9" t="e">
        <f>($B$3+$B$4)*COS(C586)-$B$4*COS((($B$3+$B$4)/$B$4)*C586)</f>
        <v>#N/A</v>
      </c>
      <c r="E586" s="9" t="e">
        <f>($B$3+$B$4)*SIN(C586)-$B$4*SIN((($B$3+$B$4)/$B$4)*C586)</f>
        <v>#N/A</v>
      </c>
      <c r="F586" s="5"/>
      <c r="G586" s="5"/>
      <c r="H586" s="5"/>
    </row>
    <row r="587" spans="1:8" x14ac:dyDescent="0.3">
      <c r="A587" s="9">
        <f>ROW()-ROW($A$14)</f>
        <v>573</v>
      </c>
      <c r="B587" s="9" t="e">
        <f>IF(A587&lt;=$B$8,$B$6+(A587-1)*($B$7-$B$6)/MAX(1,$B$8-1),NA())</f>
        <v>#N/A</v>
      </c>
      <c r="C587" s="9" t="e">
        <f>RADIANS(B587)</f>
        <v>#N/A</v>
      </c>
      <c r="D587" s="9" t="e">
        <f>($B$3+$B$4)*COS(C587)-$B$4*COS((($B$3+$B$4)/$B$4)*C587)</f>
        <v>#N/A</v>
      </c>
      <c r="E587" s="9" t="e">
        <f>($B$3+$B$4)*SIN(C587)-$B$4*SIN((($B$3+$B$4)/$B$4)*C587)</f>
        <v>#N/A</v>
      </c>
      <c r="F587" s="5"/>
      <c r="G587" s="5"/>
      <c r="H587" s="5"/>
    </row>
    <row r="588" spans="1:8" x14ac:dyDescent="0.3">
      <c r="A588" s="9">
        <f>ROW()-ROW($A$14)</f>
        <v>574</v>
      </c>
      <c r="B588" s="9" t="e">
        <f>IF(A588&lt;=$B$8,$B$6+(A588-1)*($B$7-$B$6)/MAX(1,$B$8-1),NA())</f>
        <v>#N/A</v>
      </c>
      <c r="C588" s="9" t="e">
        <f>RADIANS(B588)</f>
        <v>#N/A</v>
      </c>
      <c r="D588" s="9" t="e">
        <f>($B$3+$B$4)*COS(C588)-$B$4*COS((($B$3+$B$4)/$B$4)*C588)</f>
        <v>#N/A</v>
      </c>
      <c r="E588" s="9" t="e">
        <f>($B$3+$B$4)*SIN(C588)-$B$4*SIN((($B$3+$B$4)/$B$4)*C588)</f>
        <v>#N/A</v>
      </c>
      <c r="F588" s="5"/>
      <c r="G588" s="5"/>
      <c r="H588" s="5"/>
    </row>
    <row r="589" spans="1:8" x14ac:dyDescent="0.3">
      <c r="A589" s="9">
        <f>ROW()-ROW($A$14)</f>
        <v>575</v>
      </c>
      <c r="B589" s="9" t="e">
        <f>IF(A589&lt;=$B$8,$B$6+(A589-1)*($B$7-$B$6)/MAX(1,$B$8-1),NA())</f>
        <v>#N/A</v>
      </c>
      <c r="C589" s="9" t="e">
        <f>RADIANS(B589)</f>
        <v>#N/A</v>
      </c>
      <c r="D589" s="9" t="e">
        <f>($B$3+$B$4)*COS(C589)-$B$4*COS((($B$3+$B$4)/$B$4)*C589)</f>
        <v>#N/A</v>
      </c>
      <c r="E589" s="9" t="e">
        <f>($B$3+$B$4)*SIN(C589)-$B$4*SIN((($B$3+$B$4)/$B$4)*C589)</f>
        <v>#N/A</v>
      </c>
      <c r="F589" s="5"/>
      <c r="G589" s="5"/>
      <c r="H589" s="5"/>
    </row>
    <row r="590" spans="1:8" x14ac:dyDescent="0.3">
      <c r="A590" s="9">
        <f>ROW()-ROW($A$14)</f>
        <v>576</v>
      </c>
      <c r="B590" s="9" t="e">
        <f>IF(A590&lt;=$B$8,$B$6+(A590-1)*($B$7-$B$6)/MAX(1,$B$8-1),NA())</f>
        <v>#N/A</v>
      </c>
      <c r="C590" s="9" t="e">
        <f>RADIANS(B590)</f>
        <v>#N/A</v>
      </c>
      <c r="D590" s="9" t="e">
        <f>($B$3+$B$4)*COS(C590)-$B$4*COS((($B$3+$B$4)/$B$4)*C590)</f>
        <v>#N/A</v>
      </c>
      <c r="E590" s="9" t="e">
        <f>($B$3+$B$4)*SIN(C590)-$B$4*SIN((($B$3+$B$4)/$B$4)*C590)</f>
        <v>#N/A</v>
      </c>
      <c r="F590" s="5"/>
      <c r="G590" s="5"/>
      <c r="H590" s="5"/>
    </row>
    <row r="591" spans="1:8" x14ac:dyDescent="0.3">
      <c r="A591" s="9">
        <f>ROW()-ROW($A$14)</f>
        <v>577</v>
      </c>
      <c r="B591" s="9" t="e">
        <f>IF(A591&lt;=$B$8,$B$6+(A591-1)*($B$7-$B$6)/MAX(1,$B$8-1),NA())</f>
        <v>#N/A</v>
      </c>
      <c r="C591" s="9" t="e">
        <f>RADIANS(B591)</f>
        <v>#N/A</v>
      </c>
      <c r="D591" s="9" t="e">
        <f>($B$3+$B$4)*COS(C591)-$B$4*COS((($B$3+$B$4)/$B$4)*C591)</f>
        <v>#N/A</v>
      </c>
      <c r="E591" s="9" t="e">
        <f>($B$3+$B$4)*SIN(C591)-$B$4*SIN((($B$3+$B$4)/$B$4)*C591)</f>
        <v>#N/A</v>
      </c>
      <c r="F591" s="5"/>
      <c r="G591" s="5"/>
      <c r="H591" s="5"/>
    </row>
    <row r="592" spans="1:8" x14ac:dyDescent="0.3">
      <c r="A592" s="9">
        <f>ROW()-ROW($A$14)</f>
        <v>578</v>
      </c>
      <c r="B592" s="9" t="e">
        <f>IF(A592&lt;=$B$8,$B$6+(A592-1)*($B$7-$B$6)/MAX(1,$B$8-1),NA())</f>
        <v>#N/A</v>
      </c>
      <c r="C592" s="9" t="e">
        <f>RADIANS(B592)</f>
        <v>#N/A</v>
      </c>
      <c r="D592" s="9" t="e">
        <f>($B$3+$B$4)*COS(C592)-$B$4*COS((($B$3+$B$4)/$B$4)*C592)</f>
        <v>#N/A</v>
      </c>
      <c r="E592" s="9" t="e">
        <f>($B$3+$B$4)*SIN(C592)-$B$4*SIN((($B$3+$B$4)/$B$4)*C592)</f>
        <v>#N/A</v>
      </c>
      <c r="F592" s="5"/>
      <c r="G592" s="5"/>
      <c r="H592" s="5"/>
    </row>
    <row r="593" spans="1:8" x14ac:dyDescent="0.3">
      <c r="A593" s="9">
        <f>ROW()-ROW($A$14)</f>
        <v>579</v>
      </c>
      <c r="B593" s="9" t="e">
        <f>IF(A593&lt;=$B$8,$B$6+(A593-1)*($B$7-$B$6)/MAX(1,$B$8-1),NA())</f>
        <v>#N/A</v>
      </c>
      <c r="C593" s="9" t="e">
        <f>RADIANS(B593)</f>
        <v>#N/A</v>
      </c>
      <c r="D593" s="9" t="e">
        <f>($B$3+$B$4)*COS(C593)-$B$4*COS((($B$3+$B$4)/$B$4)*C593)</f>
        <v>#N/A</v>
      </c>
      <c r="E593" s="9" t="e">
        <f>($B$3+$B$4)*SIN(C593)-$B$4*SIN((($B$3+$B$4)/$B$4)*C593)</f>
        <v>#N/A</v>
      </c>
      <c r="F593" s="5"/>
      <c r="G593" s="5"/>
      <c r="H593" s="5"/>
    </row>
    <row r="594" spans="1:8" x14ac:dyDescent="0.3">
      <c r="A594" s="9">
        <f>ROW()-ROW($A$14)</f>
        <v>580</v>
      </c>
      <c r="B594" s="9" t="e">
        <f>IF(A594&lt;=$B$8,$B$6+(A594-1)*($B$7-$B$6)/MAX(1,$B$8-1),NA())</f>
        <v>#N/A</v>
      </c>
      <c r="C594" s="9" t="e">
        <f>RADIANS(B594)</f>
        <v>#N/A</v>
      </c>
      <c r="D594" s="9" t="e">
        <f>($B$3+$B$4)*COS(C594)-$B$4*COS((($B$3+$B$4)/$B$4)*C594)</f>
        <v>#N/A</v>
      </c>
      <c r="E594" s="9" t="e">
        <f>($B$3+$B$4)*SIN(C594)-$B$4*SIN((($B$3+$B$4)/$B$4)*C594)</f>
        <v>#N/A</v>
      </c>
      <c r="F594" s="5"/>
      <c r="G594" s="5"/>
      <c r="H594" s="5"/>
    </row>
    <row r="595" spans="1:8" x14ac:dyDescent="0.3">
      <c r="A595" s="9">
        <f>ROW()-ROW($A$14)</f>
        <v>581</v>
      </c>
      <c r="B595" s="9" t="e">
        <f>IF(A595&lt;=$B$8,$B$6+(A595-1)*($B$7-$B$6)/MAX(1,$B$8-1),NA())</f>
        <v>#N/A</v>
      </c>
      <c r="C595" s="9" t="e">
        <f>RADIANS(B595)</f>
        <v>#N/A</v>
      </c>
      <c r="D595" s="9" t="e">
        <f>($B$3+$B$4)*COS(C595)-$B$4*COS((($B$3+$B$4)/$B$4)*C595)</f>
        <v>#N/A</v>
      </c>
      <c r="E595" s="9" t="e">
        <f>($B$3+$B$4)*SIN(C595)-$B$4*SIN((($B$3+$B$4)/$B$4)*C595)</f>
        <v>#N/A</v>
      </c>
      <c r="F595" s="5"/>
      <c r="G595" s="5"/>
      <c r="H595" s="5"/>
    </row>
    <row r="596" spans="1:8" x14ac:dyDescent="0.3">
      <c r="A596" s="9">
        <f>ROW()-ROW($A$14)</f>
        <v>582</v>
      </c>
      <c r="B596" s="9" t="e">
        <f>IF(A596&lt;=$B$8,$B$6+(A596-1)*($B$7-$B$6)/MAX(1,$B$8-1),NA())</f>
        <v>#N/A</v>
      </c>
      <c r="C596" s="9" t="e">
        <f>RADIANS(B596)</f>
        <v>#N/A</v>
      </c>
      <c r="D596" s="9" t="e">
        <f>($B$3+$B$4)*COS(C596)-$B$4*COS((($B$3+$B$4)/$B$4)*C596)</f>
        <v>#N/A</v>
      </c>
      <c r="E596" s="9" t="e">
        <f>($B$3+$B$4)*SIN(C596)-$B$4*SIN((($B$3+$B$4)/$B$4)*C596)</f>
        <v>#N/A</v>
      </c>
      <c r="F596" s="5"/>
      <c r="G596" s="5"/>
      <c r="H596" s="5"/>
    </row>
    <row r="597" spans="1:8" x14ac:dyDescent="0.3">
      <c r="A597" s="9">
        <f>ROW()-ROW($A$14)</f>
        <v>583</v>
      </c>
      <c r="B597" s="9" t="e">
        <f>IF(A597&lt;=$B$8,$B$6+(A597-1)*($B$7-$B$6)/MAX(1,$B$8-1),NA())</f>
        <v>#N/A</v>
      </c>
      <c r="C597" s="9" t="e">
        <f>RADIANS(B597)</f>
        <v>#N/A</v>
      </c>
      <c r="D597" s="9" t="e">
        <f>($B$3+$B$4)*COS(C597)-$B$4*COS((($B$3+$B$4)/$B$4)*C597)</f>
        <v>#N/A</v>
      </c>
      <c r="E597" s="9" t="e">
        <f>($B$3+$B$4)*SIN(C597)-$B$4*SIN((($B$3+$B$4)/$B$4)*C597)</f>
        <v>#N/A</v>
      </c>
      <c r="F597" s="5"/>
      <c r="G597" s="5"/>
      <c r="H597" s="5"/>
    </row>
    <row r="598" spans="1:8" x14ac:dyDescent="0.3">
      <c r="A598" s="9">
        <f>ROW()-ROW($A$14)</f>
        <v>584</v>
      </c>
      <c r="B598" s="9" t="e">
        <f>IF(A598&lt;=$B$8,$B$6+(A598-1)*($B$7-$B$6)/MAX(1,$B$8-1),NA())</f>
        <v>#N/A</v>
      </c>
      <c r="C598" s="9" t="e">
        <f>RADIANS(B598)</f>
        <v>#N/A</v>
      </c>
      <c r="D598" s="9" t="e">
        <f>($B$3+$B$4)*COS(C598)-$B$4*COS((($B$3+$B$4)/$B$4)*C598)</f>
        <v>#N/A</v>
      </c>
      <c r="E598" s="9" t="e">
        <f>($B$3+$B$4)*SIN(C598)-$B$4*SIN((($B$3+$B$4)/$B$4)*C598)</f>
        <v>#N/A</v>
      </c>
      <c r="F598" s="5"/>
      <c r="G598" s="5"/>
      <c r="H598" s="5"/>
    </row>
    <row r="599" spans="1:8" x14ac:dyDescent="0.3">
      <c r="A599" s="9">
        <f>ROW()-ROW($A$14)</f>
        <v>585</v>
      </c>
      <c r="B599" s="9" t="e">
        <f>IF(A599&lt;=$B$8,$B$6+(A599-1)*($B$7-$B$6)/MAX(1,$B$8-1),NA())</f>
        <v>#N/A</v>
      </c>
      <c r="C599" s="9" t="e">
        <f>RADIANS(B599)</f>
        <v>#N/A</v>
      </c>
      <c r="D599" s="9" t="e">
        <f>($B$3+$B$4)*COS(C599)-$B$4*COS((($B$3+$B$4)/$B$4)*C599)</f>
        <v>#N/A</v>
      </c>
      <c r="E599" s="9" t="e">
        <f>($B$3+$B$4)*SIN(C599)-$B$4*SIN((($B$3+$B$4)/$B$4)*C599)</f>
        <v>#N/A</v>
      </c>
      <c r="F599" s="5"/>
      <c r="G599" s="5"/>
      <c r="H599" s="5"/>
    </row>
    <row r="600" spans="1:8" x14ac:dyDescent="0.3">
      <c r="A600" s="9">
        <f>ROW()-ROW($A$14)</f>
        <v>586</v>
      </c>
      <c r="B600" s="9" t="e">
        <f>IF(A600&lt;=$B$8,$B$6+(A600-1)*($B$7-$B$6)/MAX(1,$B$8-1),NA())</f>
        <v>#N/A</v>
      </c>
      <c r="C600" s="9" t="e">
        <f>RADIANS(B600)</f>
        <v>#N/A</v>
      </c>
      <c r="D600" s="9" t="e">
        <f>($B$3+$B$4)*COS(C600)-$B$4*COS((($B$3+$B$4)/$B$4)*C600)</f>
        <v>#N/A</v>
      </c>
      <c r="E600" s="9" t="e">
        <f>($B$3+$B$4)*SIN(C600)-$B$4*SIN((($B$3+$B$4)/$B$4)*C600)</f>
        <v>#N/A</v>
      </c>
      <c r="F600" s="5"/>
      <c r="G600" s="5"/>
      <c r="H600" s="5"/>
    </row>
    <row r="601" spans="1:8" x14ac:dyDescent="0.3">
      <c r="A601" s="9">
        <f>ROW()-ROW($A$14)</f>
        <v>587</v>
      </c>
      <c r="B601" s="9" t="e">
        <f>IF(A601&lt;=$B$8,$B$6+(A601-1)*($B$7-$B$6)/MAX(1,$B$8-1),NA())</f>
        <v>#N/A</v>
      </c>
      <c r="C601" s="9" t="e">
        <f>RADIANS(B601)</f>
        <v>#N/A</v>
      </c>
      <c r="D601" s="9" t="e">
        <f>($B$3+$B$4)*COS(C601)-$B$4*COS((($B$3+$B$4)/$B$4)*C601)</f>
        <v>#N/A</v>
      </c>
      <c r="E601" s="9" t="e">
        <f>($B$3+$B$4)*SIN(C601)-$B$4*SIN((($B$3+$B$4)/$B$4)*C601)</f>
        <v>#N/A</v>
      </c>
      <c r="F601" s="5"/>
      <c r="G601" s="5"/>
      <c r="H601" s="5"/>
    </row>
    <row r="602" spans="1:8" x14ac:dyDescent="0.3">
      <c r="A602" s="9">
        <f>ROW()-ROW($A$14)</f>
        <v>588</v>
      </c>
      <c r="B602" s="9" t="e">
        <f>IF(A602&lt;=$B$8,$B$6+(A602-1)*($B$7-$B$6)/MAX(1,$B$8-1),NA())</f>
        <v>#N/A</v>
      </c>
      <c r="C602" s="9" t="e">
        <f>RADIANS(B602)</f>
        <v>#N/A</v>
      </c>
      <c r="D602" s="9" t="e">
        <f>($B$3+$B$4)*COS(C602)-$B$4*COS((($B$3+$B$4)/$B$4)*C602)</f>
        <v>#N/A</v>
      </c>
      <c r="E602" s="9" t="e">
        <f>($B$3+$B$4)*SIN(C602)-$B$4*SIN((($B$3+$B$4)/$B$4)*C602)</f>
        <v>#N/A</v>
      </c>
      <c r="F602" s="5"/>
      <c r="G602" s="5"/>
      <c r="H602" s="5"/>
    </row>
    <row r="603" spans="1:8" x14ac:dyDescent="0.3">
      <c r="A603" s="9">
        <f>ROW()-ROW($A$14)</f>
        <v>589</v>
      </c>
      <c r="B603" s="9" t="e">
        <f>IF(A603&lt;=$B$8,$B$6+(A603-1)*($B$7-$B$6)/MAX(1,$B$8-1),NA())</f>
        <v>#N/A</v>
      </c>
      <c r="C603" s="9" t="e">
        <f>RADIANS(B603)</f>
        <v>#N/A</v>
      </c>
      <c r="D603" s="9" t="e">
        <f>($B$3+$B$4)*COS(C603)-$B$4*COS((($B$3+$B$4)/$B$4)*C603)</f>
        <v>#N/A</v>
      </c>
      <c r="E603" s="9" t="e">
        <f>($B$3+$B$4)*SIN(C603)-$B$4*SIN((($B$3+$B$4)/$B$4)*C603)</f>
        <v>#N/A</v>
      </c>
      <c r="F603" s="5"/>
      <c r="G603" s="5"/>
      <c r="H603" s="5"/>
    </row>
    <row r="604" spans="1:8" x14ac:dyDescent="0.3">
      <c r="A604" s="9">
        <f>ROW()-ROW($A$14)</f>
        <v>590</v>
      </c>
      <c r="B604" s="9" t="e">
        <f>IF(A604&lt;=$B$8,$B$6+(A604-1)*($B$7-$B$6)/MAX(1,$B$8-1),NA())</f>
        <v>#N/A</v>
      </c>
      <c r="C604" s="9" t="e">
        <f>RADIANS(B604)</f>
        <v>#N/A</v>
      </c>
      <c r="D604" s="9" t="e">
        <f>($B$3+$B$4)*COS(C604)-$B$4*COS((($B$3+$B$4)/$B$4)*C604)</f>
        <v>#N/A</v>
      </c>
      <c r="E604" s="9" t="e">
        <f>($B$3+$B$4)*SIN(C604)-$B$4*SIN((($B$3+$B$4)/$B$4)*C604)</f>
        <v>#N/A</v>
      </c>
      <c r="F604" s="5"/>
      <c r="G604" s="5"/>
      <c r="H604" s="5"/>
    </row>
    <row r="605" spans="1:8" x14ac:dyDescent="0.3">
      <c r="A605" s="9">
        <f>ROW()-ROW($A$14)</f>
        <v>591</v>
      </c>
      <c r="B605" s="9" t="e">
        <f>IF(A605&lt;=$B$8,$B$6+(A605-1)*($B$7-$B$6)/MAX(1,$B$8-1),NA())</f>
        <v>#N/A</v>
      </c>
      <c r="C605" s="9" t="e">
        <f>RADIANS(B605)</f>
        <v>#N/A</v>
      </c>
      <c r="D605" s="9" t="e">
        <f>($B$3+$B$4)*COS(C605)-$B$4*COS((($B$3+$B$4)/$B$4)*C605)</f>
        <v>#N/A</v>
      </c>
      <c r="E605" s="9" t="e">
        <f>($B$3+$B$4)*SIN(C605)-$B$4*SIN((($B$3+$B$4)/$B$4)*C605)</f>
        <v>#N/A</v>
      </c>
      <c r="F605" s="5"/>
      <c r="G605" s="5"/>
      <c r="H605" s="5"/>
    </row>
    <row r="606" spans="1:8" x14ac:dyDescent="0.3">
      <c r="A606" s="9">
        <f>ROW()-ROW($A$14)</f>
        <v>592</v>
      </c>
      <c r="B606" s="9" t="e">
        <f>IF(A606&lt;=$B$8,$B$6+(A606-1)*($B$7-$B$6)/MAX(1,$B$8-1),NA())</f>
        <v>#N/A</v>
      </c>
      <c r="C606" s="9" t="e">
        <f>RADIANS(B606)</f>
        <v>#N/A</v>
      </c>
      <c r="D606" s="9" t="e">
        <f>($B$3+$B$4)*COS(C606)-$B$4*COS((($B$3+$B$4)/$B$4)*C606)</f>
        <v>#N/A</v>
      </c>
      <c r="E606" s="9" t="e">
        <f>($B$3+$B$4)*SIN(C606)-$B$4*SIN((($B$3+$B$4)/$B$4)*C606)</f>
        <v>#N/A</v>
      </c>
      <c r="F606" s="5"/>
      <c r="G606" s="5"/>
      <c r="H606" s="5"/>
    </row>
    <row r="607" spans="1:8" x14ac:dyDescent="0.3">
      <c r="A607" s="9">
        <f>ROW()-ROW($A$14)</f>
        <v>593</v>
      </c>
      <c r="B607" s="9" t="e">
        <f>IF(A607&lt;=$B$8,$B$6+(A607-1)*($B$7-$B$6)/MAX(1,$B$8-1),NA())</f>
        <v>#N/A</v>
      </c>
      <c r="C607" s="9" t="e">
        <f>RADIANS(B607)</f>
        <v>#N/A</v>
      </c>
      <c r="D607" s="9" t="e">
        <f>($B$3+$B$4)*COS(C607)-$B$4*COS((($B$3+$B$4)/$B$4)*C607)</f>
        <v>#N/A</v>
      </c>
      <c r="E607" s="9" t="e">
        <f>($B$3+$B$4)*SIN(C607)-$B$4*SIN((($B$3+$B$4)/$B$4)*C607)</f>
        <v>#N/A</v>
      </c>
      <c r="F607" s="5"/>
      <c r="G607" s="5"/>
      <c r="H607" s="5"/>
    </row>
    <row r="608" spans="1:8" x14ac:dyDescent="0.3">
      <c r="A608" s="9">
        <f>ROW()-ROW($A$14)</f>
        <v>594</v>
      </c>
      <c r="B608" s="9" t="e">
        <f>IF(A608&lt;=$B$8,$B$6+(A608-1)*($B$7-$B$6)/MAX(1,$B$8-1),NA())</f>
        <v>#N/A</v>
      </c>
      <c r="C608" s="9" t="e">
        <f>RADIANS(B608)</f>
        <v>#N/A</v>
      </c>
      <c r="D608" s="9" t="e">
        <f>($B$3+$B$4)*COS(C608)-$B$4*COS((($B$3+$B$4)/$B$4)*C608)</f>
        <v>#N/A</v>
      </c>
      <c r="E608" s="9" t="e">
        <f>($B$3+$B$4)*SIN(C608)-$B$4*SIN((($B$3+$B$4)/$B$4)*C608)</f>
        <v>#N/A</v>
      </c>
      <c r="F608" s="5"/>
      <c r="G608" s="5"/>
      <c r="H608" s="5"/>
    </row>
    <row r="609" spans="1:8" x14ac:dyDescent="0.3">
      <c r="A609" s="9">
        <f>ROW()-ROW($A$14)</f>
        <v>595</v>
      </c>
      <c r="B609" s="9" t="e">
        <f>IF(A609&lt;=$B$8,$B$6+(A609-1)*($B$7-$B$6)/MAX(1,$B$8-1),NA())</f>
        <v>#N/A</v>
      </c>
      <c r="C609" s="9" t="e">
        <f>RADIANS(B609)</f>
        <v>#N/A</v>
      </c>
      <c r="D609" s="9" t="e">
        <f>($B$3+$B$4)*COS(C609)-$B$4*COS((($B$3+$B$4)/$B$4)*C609)</f>
        <v>#N/A</v>
      </c>
      <c r="E609" s="9" t="e">
        <f>($B$3+$B$4)*SIN(C609)-$B$4*SIN((($B$3+$B$4)/$B$4)*C609)</f>
        <v>#N/A</v>
      </c>
      <c r="F609" s="5"/>
      <c r="G609" s="5"/>
      <c r="H609" s="5"/>
    </row>
    <row r="610" spans="1:8" x14ac:dyDescent="0.3">
      <c r="A610" s="9">
        <f>ROW()-ROW($A$14)</f>
        <v>596</v>
      </c>
      <c r="B610" s="9" t="e">
        <f>IF(A610&lt;=$B$8,$B$6+(A610-1)*($B$7-$B$6)/MAX(1,$B$8-1),NA())</f>
        <v>#N/A</v>
      </c>
      <c r="C610" s="9" t="e">
        <f>RADIANS(B610)</f>
        <v>#N/A</v>
      </c>
      <c r="D610" s="9" t="e">
        <f>($B$3+$B$4)*COS(C610)-$B$4*COS((($B$3+$B$4)/$B$4)*C610)</f>
        <v>#N/A</v>
      </c>
      <c r="E610" s="9" t="e">
        <f>($B$3+$B$4)*SIN(C610)-$B$4*SIN((($B$3+$B$4)/$B$4)*C610)</f>
        <v>#N/A</v>
      </c>
      <c r="F610" s="5"/>
      <c r="G610" s="5"/>
      <c r="H610" s="5"/>
    </row>
    <row r="611" spans="1:8" x14ac:dyDescent="0.3">
      <c r="A611" s="9">
        <f>ROW()-ROW($A$14)</f>
        <v>597</v>
      </c>
      <c r="B611" s="9" t="e">
        <f>IF(A611&lt;=$B$8,$B$6+(A611-1)*($B$7-$B$6)/MAX(1,$B$8-1),NA())</f>
        <v>#N/A</v>
      </c>
      <c r="C611" s="9" t="e">
        <f>RADIANS(B611)</f>
        <v>#N/A</v>
      </c>
      <c r="D611" s="9" t="e">
        <f>($B$3+$B$4)*COS(C611)-$B$4*COS((($B$3+$B$4)/$B$4)*C611)</f>
        <v>#N/A</v>
      </c>
      <c r="E611" s="9" t="e">
        <f>($B$3+$B$4)*SIN(C611)-$B$4*SIN((($B$3+$B$4)/$B$4)*C611)</f>
        <v>#N/A</v>
      </c>
      <c r="F611" s="5"/>
      <c r="G611" s="5"/>
      <c r="H611" s="5"/>
    </row>
    <row r="612" spans="1:8" x14ac:dyDescent="0.3">
      <c r="A612" s="9">
        <f>ROW()-ROW($A$14)</f>
        <v>598</v>
      </c>
      <c r="B612" s="9" t="e">
        <f>IF(A612&lt;=$B$8,$B$6+(A612-1)*($B$7-$B$6)/MAX(1,$B$8-1),NA())</f>
        <v>#N/A</v>
      </c>
      <c r="C612" s="9" t="e">
        <f>RADIANS(B612)</f>
        <v>#N/A</v>
      </c>
      <c r="D612" s="9" t="e">
        <f>($B$3+$B$4)*COS(C612)-$B$4*COS((($B$3+$B$4)/$B$4)*C612)</f>
        <v>#N/A</v>
      </c>
      <c r="E612" s="9" t="e">
        <f>($B$3+$B$4)*SIN(C612)-$B$4*SIN((($B$3+$B$4)/$B$4)*C612)</f>
        <v>#N/A</v>
      </c>
      <c r="F612" s="5"/>
      <c r="G612" s="5"/>
      <c r="H612" s="5"/>
    </row>
    <row r="613" spans="1:8" x14ac:dyDescent="0.3">
      <c r="A613" s="9">
        <f>ROW()-ROW($A$14)</f>
        <v>599</v>
      </c>
      <c r="B613" s="9" t="e">
        <f>IF(A613&lt;=$B$8,$B$6+(A613-1)*($B$7-$B$6)/MAX(1,$B$8-1),NA())</f>
        <v>#N/A</v>
      </c>
      <c r="C613" s="9" t="e">
        <f>RADIANS(B613)</f>
        <v>#N/A</v>
      </c>
      <c r="D613" s="9" t="e">
        <f>($B$3+$B$4)*COS(C613)-$B$4*COS((($B$3+$B$4)/$B$4)*C613)</f>
        <v>#N/A</v>
      </c>
      <c r="E613" s="9" t="e">
        <f>($B$3+$B$4)*SIN(C613)-$B$4*SIN((($B$3+$B$4)/$B$4)*C613)</f>
        <v>#N/A</v>
      </c>
      <c r="F613" s="5"/>
      <c r="G613" s="5"/>
      <c r="H613" s="5"/>
    </row>
    <row r="614" spans="1:8" x14ac:dyDescent="0.3">
      <c r="A614" s="9">
        <f>ROW()-ROW($A$14)</f>
        <v>600</v>
      </c>
      <c r="B614" s="9" t="e">
        <f>IF(A614&lt;=$B$8,$B$6+(A614-1)*($B$7-$B$6)/MAX(1,$B$8-1),NA())</f>
        <v>#N/A</v>
      </c>
      <c r="C614" s="9" t="e">
        <f>RADIANS(B614)</f>
        <v>#N/A</v>
      </c>
      <c r="D614" s="9" t="e">
        <f>($B$3+$B$4)*COS(C614)-$B$4*COS((($B$3+$B$4)/$B$4)*C614)</f>
        <v>#N/A</v>
      </c>
      <c r="E614" s="9" t="e">
        <f>($B$3+$B$4)*SIN(C614)-$B$4*SIN((($B$3+$B$4)/$B$4)*C614)</f>
        <v>#N/A</v>
      </c>
      <c r="F614" s="5"/>
      <c r="G614" s="5"/>
      <c r="H614" s="5"/>
    </row>
    <row r="615" spans="1:8" x14ac:dyDescent="0.3">
      <c r="A615" s="9">
        <f>ROW()-ROW($A$14)</f>
        <v>601</v>
      </c>
      <c r="B615" s="9" t="e">
        <f>IF(A615&lt;=$B$8,$B$6+(A615-1)*($B$7-$B$6)/MAX(1,$B$8-1),NA())</f>
        <v>#N/A</v>
      </c>
      <c r="C615" s="9" t="e">
        <f>RADIANS(B615)</f>
        <v>#N/A</v>
      </c>
      <c r="D615" s="9" t="e">
        <f>($B$3+$B$4)*COS(C615)-$B$4*COS((($B$3+$B$4)/$B$4)*C615)</f>
        <v>#N/A</v>
      </c>
      <c r="E615" s="9" t="e">
        <f>($B$3+$B$4)*SIN(C615)-$B$4*SIN((($B$3+$B$4)/$B$4)*C615)</f>
        <v>#N/A</v>
      </c>
      <c r="F615" s="5"/>
      <c r="G615" s="5"/>
      <c r="H615" s="5"/>
    </row>
    <row r="616" spans="1:8" x14ac:dyDescent="0.3">
      <c r="A616" s="9">
        <f>ROW()-ROW($A$14)</f>
        <v>602</v>
      </c>
      <c r="B616" s="9" t="e">
        <f>IF(A616&lt;=$B$8,$B$6+(A616-1)*($B$7-$B$6)/MAX(1,$B$8-1),NA())</f>
        <v>#N/A</v>
      </c>
      <c r="C616" s="9" t="e">
        <f>RADIANS(B616)</f>
        <v>#N/A</v>
      </c>
      <c r="D616" s="9" t="e">
        <f>($B$3+$B$4)*COS(C616)-$B$4*COS((($B$3+$B$4)/$B$4)*C616)</f>
        <v>#N/A</v>
      </c>
      <c r="E616" s="9" t="e">
        <f>($B$3+$B$4)*SIN(C616)-$B$4*SIN((($B$3+$B$4)/$B$4)*C616)</f>
        <v>#N/A</v>
      </c>
      <c r="F616" s="5"/>
      <c r="G616" s="5"/>
      <c r="H616" s="5"/>
    </row>
    <row r="617" spans="1:8" x14ac:dyDescent="0.3">
      <c r="A617" s="9">
        <f>ROW()-ROW($A$14)</f>
        <v>603</v>
      </c>
      <c r="B617" s="9" t="e">
        <f>IF(A617&lt;=$B$8,$B$6+(A617-1)*($B$7-$B$6)/MAX(1,$B$8-1),NA())</f>
        <v>#N/A</v>
      </c>
      <c r="C617" s="9" t="e">
        <f>RADIANS(B617)</f>
        <v>#N/A</v>
      </c>
      <c r="D617" s="9" t="e">
        <f>($B$3+$B$4)*COS(C617)-$B$4*COS((($B$3+$B$4)/$B$4)*C617)</f>
        <v>#N/A</v>
      </c>
      <c r="E617" s="9" t="e">
        <f>($B$3+$B$4)*SIN(C617)-$B$4*SIN((($B$3+$B$4)/$B$4)*C617)</f>
        <v>#N/A</v>
      </c>
      <c r="F617" s="5"/>
      <c r="G617" s="5"/>
      <c r="H617" s="5"/>
    </row>
    <row r="618" spans="1:8" x14ac:dyDescent="0.3">
      <c r="A618" s="9">
        <f>ROW()-ROW($A$14)</f>
        <v>604</v>
      </c>
      <c r="B618" s="9" t="e">
        <f>IF(A618&lt;=$B$8,$B$6+(A618-1)*($B$7-$B$6)/MAX(1,$B$8-1),NA())</f>
        <v>#N/A</v>
      </c>
      <c r="C618" s="9" t="e">
        <f>RADIANS(B618)</f>
        <v>#N/A</v>
      </c>
      <c r="D618" s="9" t="e">
        <f>($B$3+$B$4)*COS(C618)-$B$4*COS((($B$3+$B$4)/$B$4)*C618)</f>
        <v>#N/A</v>
      </c>
      <c r="E618" s="9" t="e">
        <f>($B$3+$B$4)*SIN(C618)-$B$4*SIN((($B$3+$B$4)/$B$4)*C618)</f>
        <v>#N/A</v>
      </c>
      <c r="F618" s="5"/>
      <c r="G618" s="5"/>
      <c r="H618" s="5"/>
    </row>
    <row r="619" spans="1:8" x14ac:dyDescent="0.3">
      <c r="A619" s="9">
        <f>ROW()-ROW($A$14)</f>
        <v>605</v>
      </c>
      <c r="B619" s="9" t="e">
        <f>IF(A619&lt;=$B$8,$B$6+(A619-1)*($B$7-$B$6)/MAX(1,$B$8-1),NA())</f>
        <v>#N/A</v>
      </c>
      <c r="C619" s="9" t="e">
        <f>RADIANS(B619)</f>
        <v>#N/A</v>
      </c>
      <c r="D619" s="9" t="e">
        <f>($B$3+$B$4)*COS(C619)-$B$4*COS((($B$3+$B$4)/$B$4)*C619)</f>
        <v>#N/A</v>
      </c>
      <c r="E619" s="9" t="e">
        <f>($B$3+$B$4)*SIN(C619)-$B$4*SIN((($B$3+$B$4)/$B$4)*C619)</f>
        <v>#N/A</v>
      </c>
      <c r="F619" s="5"/>
      <c r="G619" s="5"/>
      <c r="H619" s="5"/>
    </row>
    <row r="620" spans="1:8" x14ac:dyDescent="0.3">
      <c r="A620" s="9">
        <f>ROW()-ROW($A$14)</f>
        <v>606</v>
      </c>
      <c r="B620" s="9" t="e">
        <f>IF(A620&lt;=$B$8,$B$6+(A620-1)*($B$7-$B$6)/MAX(1,$B$8-1),NA())</f>
        <v>#N/A</v>
      </c>
      <c r="C620" s="9" t="e">
        <f>RADIANS(B620)</f>
        <v>#N/A</v>
      </c>
      <c r="D620" s="9" t="e">
        <f>($B$3+$B$4)*COS(C620)-$B$4*COS((($B$3+$B$4)/$B$4)*C620)</f>
        <v>#N/A</v>
      </c>
      <c r="E620" s="9" t="e">
        <f>($B$3+$B$4)*SIN(C620)-$B$4*SIN((($B$3+$B$4)/$B$4)*C620)</f>
        <v>#N/A</v>
      </c>
      <c r="F620" s="5"/>
      <c r="G620" s="5"/>
      <c r="H620" s="5"/>
    </row>
    <row r="621" spans="1:8" x14ac:dyDescent="0.3">
      <c r="A621" s="9">
        <f>ROW()-ROW($A$14)</f>
        <v>607</v>
      </c>
      <c r="B621" s="9" t="e">
        <f>IF(A621&lt;=$B$8,$B$6+(A621-1)*($B$7-$B$6)/MAX(1,$B$8-1),NA())</f>
        <v>#N/A</v>
      </c>
      <c r="C621" s="9" t="e">
        <f>RADIANS(B621)</f>
        <v>#N/A</v>
      </c>
      <c r="D621" s="9" t="e">
        <f>($B$3+$B$4)*COS(C621)-$B$4*COS((($B$3+$B$4)/$B$4)*C621)</f>
        <v>#N/A</v>
      </c>
      <c r="E621" s="9" t="e">
        <f>($B$3+$B$4)*SIN(C621)-$B$4*SIN((($B$3+$B$4)/$B$4)*C621)</f>
        <v>#N/A</v>
      </c>
      <c r="F621" s="5"/>
      <c r="G621" s="5"/>
      <c r="H621" s="5"/>
    </row>
    <row r="622" spans="1:8" x14ac:dyDescent="0.3">
      <c r="A622" s="9">
        <f>ROW()-ROW($A$14)</f>
        <v>608</v>
      </c>
      <c r="B622" s="9" t="e">
        <f>IF(A622&lt;=$B$8,$B$6+(A622-1)*($B$7-$B$6)/MAX(1,$B$8-1),NA())</f>
        <v>#N/A</v>
      </c>
      <c r="C622" s="9" t="e">
        <f>RADIANS(B622)</f>
        <v>#N/A</v>
      </c>
      <c r="D622" s="9" t="e">
        <f>($B$3+$B$4)*COS(C622)-$B$4*COS((($B$3+$B$4)/$B$4)*C622)</f>
        <v>#N/A</v>
      </c>
      <c r="E622" s="9" t="e">
        <f>($B$3+$B$4)*SIN(C622)-$B$4*SIN((($B$3+$B$4)/$B$4)*C622)</f>
        <v>#N/A</v>
      </c>
      <c r="F622" s="5"/>
      <c r="G622" s="5"/>
      <c r="H622" s="5"/>
    </row>
    <row r="623" spans="1:8" x14ac:dyDescent="0.3">
      <c r="A623" s="9">
        <f>ROW()-ROW($A$14)</f>
        <v>609</v>
      </c>
      <c r="B623" s="9" t="e">
        <f>IF(A623&lt;=$B$8,$B$6+(A623-1)*($B$7-$B$6)/MAX(1,$B$8-1),NA())</f>
        <v>#N/A</v>
      </c>
      <c r="C623" s="9" t="e">
        <f>RADIANS(B623)</f>
        <v>#N/A</v>
      </c>
      <c r="D623" s="9" t="e">
        <f>($B$3+$B$4)*COS(C623)-$B$4*COS((($B$3+$B$4)/$B$4)*C623)</f>
        <v>#N/A</v>
      </c>
      <c r="E623" s="9" t="e">
        <f>($B$3+$B$4)*SIN(C623)-$B$4*SIN((($B$3+$B$4)/$B$4)*C623)</f>
        <v>#N/A</v>
      </c>
      <c r="F623" s="5"/>
      <c r="G623" s="5"/>
      <c r="H623" s="5"/>
    </row>
    <row r="624" spans="1:8" x14ac:dyDescent="0.3">
      <c r="A624" s="9">
        <f>ROW()-ROW($A$14)</f>
        <v>610</v>
      </c>
      <c r="B624" s="9" t="e">
        <f>IF(A624&lt;=$B$8,$B$6+(A624-1)*($B$7-$B$6)/MAX(1,$B$8-1),NA())</f>
        <v>#N/A</v>
      </c>
      <c r="C624" s="9" t="e">
        <f>RADIANS(B624)</f>
        <v>#N/A</v>
      </c>
      <c r="D624" s="9" t="e">
        <f>($B$3+$B$4)*COS(C624)-$B$4*COS((($B$3+$B$4)/$B$4)*C624)</f>
        <v>#N/A</v>
      </c>
      <c r="E624" s="9" t="e">
        <f>($B$3+$B$4)*SIN(C624)-$B$4*SIN((($B$3+$B$4)/$B$4)*C624)</f>
        <v>#N/A</v>
      </c>
      <c r="F624" s="5"/>
      <c r="G624" s="5"/>
      <c r="H624" s="5"/>
    </row>
    <row r="625" spans="1:8" x14ac:dyDescent="0.3">
      <c r="A625" s="9">
        <f>ROW()-ROW($A$14)</f>
        <v>611</v>
      </c>
      <c r="B625" s="9" t="e">
        <f>IF(A625&lt;=$B$8,$B$6+(A625-1)*($B$7-$B$6)/MAX(1,$B$8-1),NA())</f>
        <v>#N/A</v>
      </c>
      <c r="C625" s="9" t="e">
        <f>RADIANS(B625)</f>
        <v>#N/A</v>
      </c>
      <c r="D625" s="9" t="e">
        <f>($B$3+$B$4)*COS(C625)-$B$4*COS((($B$3+$B$4)/$B$4)*C625)</f>
        <v>#N/A</v>
      </c>
      <c r="E625" s="9" t="e">
        <f>($B$3+$B$4)*SIN(C625)-$B$4*SIN((($B$3+$B$4)/$B$4)*C625)</f>
        <v>#N/A</v>
      </c>
      <c r="F625" s="5"/>
      <c r="G625" s="5"/>
      <c r="H625" s="5"/>
    </row>
    <row r="626" spans="1:8" x14ac:dyDescent="0.3">
      <c r="A626" s="9">
        <f>ROW()-ROW($A$14)</f>
        <v>612</v>
      </c>
      <c r="B626" s="9" t="e">
        <f>IF(A626&lt;=$B$8,$B$6+(A626-1)*($B$7-$B$6)/MAX(1,$B$8-1),NA())</f>
        <v>#N/A</v>
      </c>
      <c r="C626" s="9" t="e">
        <f>RADIANS(B626)</f>
        <v>#N/A</v>
      </c>
      <c r="D626" s="9" t="e">
        <f>($B$3+$B$4)*COS(C626)-$B$4*COS((($B$3+$B$4)/$B$4)*C626)</f>
        <v>#N/A</v>
      </c>
      <c r="E626" s="9" t="e">
        <f>($B$3+$B$4)*SIN(C626)-$B$4*SIN((($B$3+$B$4)/$B$4)*C626)</f>
        <v>#N/A</v>
      </c>
      <c r="F626" s="5"/>
      <c r="G626" s="5"/>
      <c r="H626" s="5"/>
    </row>
    <row r="627" spans="1:8" x14ac:dyDescent="0.3">
      <c r="A627" s="9">
        <f>ROW()-ROW($A$14)</f>
        <v>613</v>
      </c>
      <c r="B627" s="9" t="e">
        <f>IF(A627&lt;=$B$8,$B$6+(A627-1)*($B$7-$B$6)/MAX(1,$B$8-1),NA())</f>
        <v>#N/A</v>
      </c>
      <c r="C627" s="9" t="e">
        <f>RADIANS(B627)</f>
        <v>#N/A</v>
      </c>
      <c r="D627" s="9" t="e">
        <f>($B$3+$B$4)*COS(C627)-$B$4*COS((($B$3+$B$4)/$B$4)*C627)</f>
        <v>#N/A</v>
      </c>
      <c r="E627" s="9" t="e">
        <f>($B$3+$B$4)*SIN(C627)-$B$4*SIN((($B$3+$B$4)/$B$4)*C627)</f>
        <v>#N/A</v>
      </c>
      <c r="F627" s="5"/>
      <c r="G627" s="5"/>
      <c r="H627" s="5"/>
    </row>
    <row r="628" spans="1:8" x14ac:dyDescent="0.3">
      <c r="A628" s="9">
        <f>ROW()-ROW($A$14)</f>
        <v>614</v>
      </c>
      <c r="B628" s="9" t="e">
        <f>IF(A628&lt;=$B$8,$B$6+(A628-1)*($B$7-$B$6)/MAX(1,$B$8-1),NA())</f>
        <v>#N/A</v>
      </c>
      <c r="C628" s="9" t="e">
        <f>RADIANS(B628)</f>
        <v>#N/A</v>
      </c>
      <c r="D628" s="9" t="e">
        <f>($B$3+$B$4)*COS(C628)-$B$4*COS((($B$3+$B$4)/$B$4)*C628)</f>
        <v>#N/A</v>
      </c>
      <c r="E628" s="9" t="e">
        <f>($B$3+$B$4)*SIN(C628)-$B$4*SIN((($B$3+$B$4)/$B$4)*C628)</f>
        <v>#N/A</v>
      </c>
      <c r="F628" s="5"/>
      <c r="G628" s="5"/>
      <c r="H628" s="5"/>
    </row>
    <row r="629" spans="1:8" x14ac:dyDescent="0.3">
      <c r="A629" s="9">
        <f>ROW()-ROW($A$14)</f>
        <v>615</v>
      </c>
      <c r="B629" s="9" t="e">
        <f>IF(A629&lt;=$B$8,$B$6+(A629-1)*($B$7-$B$6)/MAX(1,$B$8-1),NA())</f>
        <v>#N/A</v>
      </c>
      <c r="C629" s="9" t="e">
        <f>RADIANS(B629)</f>
        <v>#N/A</v>
      </c>
      <c r="D629" s="9" t="e">
        <f>($B$3+$B$4)*COS(C629)-$B$4*COS((($B$3+$B$4)/$B$4)*C629)</f>
        <v>#N/A</v>
      </c>
      <c r="E629" s="9" t="e">
        <f>($B$3+$B$4)*SIN(C629)-$B$4*SIN((($B$3+$B$4)/$B$4)*C629)</f>
        <v>#N/A</v>
      </c>
      <c r="F629" s="5"/>
      <c r="G629" s="5"/>
      <c r="H629" s="5"/>
    </row>
    <row r="630" spans="1:8" x14ac:dyDescent="0.3">
      <c r="A630" s="9">
        <f>ROW()-ROW($A$14)</f>
        <v>616</v>
      </c>
      <c r="B630" s="9" t="e">
        <f>IF(A630&lt;=$B$8,$B$6+(A630-1)*($B$7-$B$6)/MAX(1,$B$8-1),NA())</f>
        <v>#N/A</v>
      </c>
      <c r="C630" s="9" t="e">
        <f>RADIANS(B630)</f>
        <v>#N/A</v>
      </c>
      <c r="D630" s="9" t="e">
        <f>($B$3+$B$4)*COS(C630)-$B$4*COS((($B$3+$B$4)/$B$4)*C630)</f>
        <v>#N/A</v>
      </c>
      <c r="E630" s="9" t="e">
        <f>($B$3+$B$4)*SIN(C630)-$B$4*SIN((($B$3+$B$4)/$B$4)*C630)</f>
        <v>#N/A</v>
      </c>
      <c r="F630" s="5"/>
      <c r="G630" s="5"/>
      <c r="H630" s="5"/>
    </row>
    <row r="631" spans="1:8" x14ac:dyDescent="0.3">
      <c r="A631" s="9">
        <f>ROW()-ROW($A$14)</f>
        <v>617</v>
      </c>
      <c r="B631" s="9" t="e">
        <f>IF(A631&lt;=$B$8,$B$6+(A631-1)*($B$7-$B$6)/MAX(1,$B$8-1),NA())</f>
        <v>#N/A</v>
      </c>
      <c r="C631" s="9" t="e">
        <f>RADIANS(B631)</f>
        <v>#N/A</v>
      </c>
      <c r="D631" s="9" t="e">
        <f>($B$3+$B$4)*COS(C631)-$B$4*COS((($B$3+$B$4)/$B$4)*C631)</f>
        <v>#N/A</v>
      </c>
      <c r="E631" s="9" t="e">
        <f>($B$3+$B$4)*SIN(C631)-$B$4*SIN((($B$3+$B$4)/$B$4)*C631)</f>
        <v>#N/A</v>
      </c>
      <c r="F631" s="5"/>
      <c r="G631" s="5"/>
      <c r="H631" s="5"/>
    </row>
    <row r="632" spans="1:8" x14ac:dyDescent="0.3">
      <c r="A632" s="9">
        <f>ROW()-ROW($A$14)</f>
        <v>618</v>
      </c>
      <c r="B632" s="9" t="e">
        <f>IF(A632&lt;=$B$8,$B$6+(A632-1)*($B$7-$B$6)/MAX(1,$B$8-1),NA())</f>
        <v>#N/A</v>
      </c>
      <c r="C632" s="9" t="e">
        <f>RADIANS(B632)</f>
        <v>#N/A</v>
      </c>
      <c r="D632" s="9" t="e">
        <f>($B$3+$B$4)*COS(C632)-$B$4*COS((($B$3+$B$4)/$B$4)*C632)</f>
        <v>#N/A</v>
      </c>
      <c r="E632" s="9" t="e">
        <f>($B$3+$B$4)*SIN(C632)-$B$4*SIN((($B$3+$B$4)/$B$4)*C632)</f>
        <v>#N/A</v>
      </c>
      <c r="F632" s="5"/>
      <c r="G632" s="5"/>
      <c r="H632" s="5"/>
    </row>
    <row r="633" spans="1:8" x14ac:dyDescent="0.3">
      <c r="A633" s="9">
        <f>ROW()-ROW($A$14)</f>
        <v>619</v>
      </c>
      <c r="B633" s="9" t="e">
        <f>IF(A633&lt;=$B$8,$B$6+(A633-1)*($B$7-$B$6)/MAX(1,$B$8-1),NA())</f>
        <v>#N/A</v>
      </c>
      <c r="C633" s="9" t="e">
        <f>RADIANS(B633)</f>
        <v>#N/A</v>
      </c>
      <c r="D633" s="9" t="e">
        <f>($B$3+$B$4)*COS(C633)-$B$4*COS((($B$3+$B$4)/$B$4)*C633)</f>
        <v>#N/A</v>
      </c>
      <c r="E633" s="9" t="e">
        <f>($B$3+$B$4)*SIN(C633)-$B$4*SIN((($B$3+$B$4)/$B$4)*C633)</f>
        <v>#N/A</v>
      </c>
      <c r="F633" s="5"/>
      <c r="G633" s="5"/>
      <c r="H633" s="5"/>
    </row>
    <row r="634" spans="1:8" x14ac:dyDescent="0.3">
      <c r="A634" s="9">
        <f>ROW()-ROW($A$14)</f>
        <v>620</v>
      </c>
      <c r="B634" s="9" t="e">
        <f>IF(A634&lt;=$B$8,$B$6+(A634-1)*($B$7-$B$6)/MAX(1,$B$8-1),NA())</f>
        <v>#N/A</v>
      </c>
      <c r="C634" s="9" t="e">
        <f>RADIANS(B634)</f>
        <v>#N/A</v>
      </c>
      <c r="D634" s="9" t="e">
        <f>($B$3+$B$4)*COS(C634)-$B$4*COS((($B$3+$B$4)/$B$4)*C634)</f>
        <v>#N/A</v>
      </c>
      <c r="E634" s="9" t="e">
        <f>($B$3+$B$4)*SIN(C634)-$B$4*SIN((($B$3+$B$4)/$B$4)*C634)</f>
        <v>#N/A</v>
      </c>
      <c r="F634" s="5"/>
      <c r="G634" s="5"/>
      <c r="H634" s="5"/>
    </row>
    <row r="635" spans="1:8" x14ac:dyDescent="0.3">
      <c r="A635" s="9">
        <f>ROW()-ROW($A$14)</f>
        <v>621</v>
      </c>
      <c r="B635" s="9" t="e">
        <f>IF(A635&lt;=$B$8,$B$6+(A635-1)*($B$7-$B$6)/MAX(1,$B$8-1),NA())</f>
        <v>#N/A</v>
      </c>
      <c r="C635" s="9" t="e">
        <f>RADIANS(B635)</f>
        <v>#N/A</v>
      </c>
      <c r="D635" s="9" t="e">
        <f>($B$3+$B$4)*COS(C635)-$B$4*COS((($B$3+$B$4)/$B$4)*C635)</f>
        <v>#N/A</v>
      </c>
      <c r="E635" s="9" t="e">
        <f>($B$3+$B$4)*SIN(C635)-$B$4*SIN((($B$3+$B$4)/$B$4)*C635)</f>
        <v>#N/A</v>
      </c>
      <c r="F635" s="5"/>
      <c r="G635" s="5"/>
      <c r="H635" s="5"/>
    </row>
    <row r="636" spans="1:8" x14ac:dyDescent="0.3">
      <c r="A636" s="9">
        <f>ROW()-ROW($A$14)</f>
        <v>622</v>
      </c>
      <c r="B636" s="9" t="e">
        <f>IF(A636&lt;=$B$8,$B$6+(A636-1)*($B$7-$B$6)/MAX(1,$B$8-1),NA())</f>
        <v>#N/A</v>
      </c>
      <c r="C636" s="9" t="e">
        <f>RADIANS(B636)</f>
        <v>#N/A</v>
      </c>
      <c r="D636" s="9" t="e">
        <f>($B$3+$B$4)*COS(C636)-$B$4*COS((($B$3+$B$4)/$B$4)*C636)</f>
        <v>#N/A</v>
      </c>
      <c r="E636" s="9" t="e">
        <f>($B$3+$B$4)*SIN(C636)-$B$4*SIN((($B$3+$B$4)/$B$4)*C636)</f>
        <v>#N/A</v>
      </c>
      <c r="F636" s="5"/>
      <c r="G636" s="5"/>
      <c r="H636" s="5"/>
    </row>
    <row r="637" spans="1:8" x14ac:dyDescent="0.3">
      <c r="A637" s="9">
        <f>ROW()-ROW($A$14)</f>
        <v>623</v>
      </c>
      <c r="B637" s="9" t="e">
        <f>IF(A637&lt;=$B$8,$B$6+(A637-1)*($B$7-$B$6)/MAX(1,$B$8-1),NA())</f>
        <v>#N/A</v>
      </c>
      <c r="C637" s="9" t="e">
        <f>RADIANS(B637)</f>
        <v>#N/A</v>
      </c>
      <c r="D637" s="9" t="e">
        <f>($B$3+$B$4)*COS(C637)-$B$4*COS((($B$3+$B$4)/$B$4)*C637)</f>
        <v>#N/A</v>
      </c>
      <c r="E637" s="9" t="e">
        <f>($B$3+$B$4)*SIN(C637)-$B$4*SIN((($B$3+$B$4)/$B$4)*C637)</f>
        <v>#N/A</v>
      </c>
      <c r="F637" s="5"/>
      <c r="G637" s="5"/>
      <c r="H637" s="5"/>
    </row>
    <row r="638" spans="1:8" x14ac:dyDescent="0.3">
      <c r="A638" s="9">
        <f>ROW()-ROW($A$14)</f>
        <v>624</v>
      </c>
      <c r="B638" s="9" t="e">
        <f>IF(A638&lt;=$B$8,$B$6+(A638-1)*($B$7-$B$6)/MAX(1,$B$8-1),NA())</f>
        <v>#N/A</v>
      </c>
      <c r="C638" s="9" t="e">
        <f>RADIANS(B638)</f>
        <v>#N/A</v>
      </c>
      <c r="D638" s="9" t="e">
        <f>($B$3+$B$4)*COS(C638)-$B$4*COS((($B$3+$B$4)/$B$4)*C638)</f>
        <v>#N/A</v>
      </c>
      <c r="E638" s="9" t="e">
        <f>($B$3+$B$4)*SIN(C638)-$B$4*SIN((($B$3+$B$4)/$B$4)*C638)</f>
        <v>#N/A</v>
      </c>
      <c r="F638" s="5"/>
      <c r="G638" s="5"/>
      <c r="H638" s="5"/>
    </row>
    <row r="639" spans="1:8" x14ac:dyDescent="0.3">
      <c r="A639" s="9">
        <f>ROW()-ROW($A$14)</f>
        <v>625</v>
      </c>
      <c r="B639" s="9" t="e">
        <f>IF(A639&lt;=$B$8,$B$6+(A639-1)*($B$7-$B$6)/MAX(1,$B$8-1),NA())</f>
        <v>#N/A</v>
      </c>
      <c r="C639" s="9" t="e">
        <f>RADIANS(B639)</f>
        <v>#N/A</v>
      </c>
      <c r="D639" s="9" t="e">
        <f>($B$3+$B$4)*COS(C639)-$B$4*COS((($B$3+$B$4)/$B$4)*C639)</f>
        <v>#N/A</v>
      </c>
      <c r="E639" s="9" t="e">
        <f>($B$3+$B$4)*SIN(C639)-$B$4*SIN((($B$3+$B$4)/$B$4)*C639)</f>
        <v>#N/A</v>
      </c>
      <c r="F639" s="5"/>
      <c r="G639" s="5"/>
      <c r="H639" s="5"/>
    </row>
    <row r="640" spans="1:8" x14ac:dyDescent="0.3">
      <c r="A640" s="9">
        <f>ROW()-ROW($A$14)</f>
        <v>626</v>
      </c>
      <c r="B640" s="9" t="e">
        <f>IF(A640&lt;=$B$8,$B$6+(A640-1)*($B$7-$B$6)/MAX(1,$B$8-1),NA())</f>
        <v>#N/A</v>
      </c>
      <c r="C640" s="9" t="e">
        <f>RADIANS(B640)</f>
        <v>#N/A</v>
      </c>
      <c r="D640" s="9" t="e">
        <f>($B$3+$B$4)*COS(C640)-$B$4*COS((($B$3+$B$4)/$B$4)*C640)</f>
        <v>#N/A</v>
      </c>
      <c r="E640" s="9" t="e">
        <f>($B$3+$B$4)*SIN(C640)-$B$4*SIN((($B$3+$B$4)/$B$4)*C640)</f>
        <v>#N/A</v>
      </c>
      <c r="F640" s="5"/>
      <c r="G640" s="5"/>
      <c r="H640" s="5"/>
    </row>
    <row r="641" spans="1:8" x14ac:dyDescent="0.3">
      <c r="A641" s="9">
        <f>ROW()-ROW($A$14)</f>
        <v>627</v>
      </c>
      <c r="B641" s="9" t="e">
        <f>IF(A641&lt;=$B$8,$B$6+(A641-1)*($B$7-$B$6)/MAX(1,$B$8-1),NA())</f>
        <v>#N/A</v>
      </c>
      <c r="C641" s="9" t="e">
        <f>RADIANS(B641)</f>
        <v>#N/A</v>
      </c>
      <c r="D641" s="9" t="e">
        <f>($B$3+$B$4)*COS(C641)-$B$4*COS((($B$3+$B$4)/$B$4)*C641)</f>
        <v>#N/A</v>
      </c>
      <c r="E641" s="9" t="e">
        <f>($B$3+$B$4)*SIN(C641)-$B$4*SIN((($B$3+$B$4)/$B$4)*C641)</f>
        <v>#N/A</v>
      </c>
      <c r="F641" s="5"/>
      <c r="G641" s="5"/>
      <c r="H641" s="5"/>
    </row>
    <row r="642" spans="1:8" x14ac:dyDescent="0.3">
      <c r="A642" s="9">
        <f>ROW()-ROW($A$14)</f>
        <v>628</v>
      </c>
      <c r="B642" s="9" t="e">
        <f>IF(A642&lt;=$B$8,$B$6+(A642-1)*($B$7-$B$6)/MAX(1,$B$8-1),NA())</f>
        <v>#N/A</v>
      </c>
      <c r="C642" s="9" t="e">
        <f>RADIANS(B642)</f>
        <v>#N/A</v>
      </c>
      <c r="D642" s="9" t="e">
        <f>($B$3+$B$4)*COS(C642)-$B$4*COS((($B$3+$B$4)/$B$4)*C642)</f>
        <v>#N/A</v>
      </c>
      <c r="E642" s="9" t="e">
        <f>($B$3+$B$4)*SIN(C642)-$B$4*SIN((($B$3+$B$4)/$B$4)*C642)</f>
        <v>#N/A</v>
      </c>
      <c r="F642" s="5"/>
      <c r="G642" s="5"/>
      <c r="H642" s="5"/>
    </row>
    <row r="643" spans="1:8" x14ac:dyDescent="0.3">
      <c r="A643" s="9">
        <f>ROW()-ROW($A$14)</f>
        <v>629</v>
      </c>
      <c r="B643" s="9" t="e">
        <f>IF(A643&lt;=$B$8,$B$6+(A643-1)*($B$7-$B$6)/MAX(1,$B$8-1),NA())</f>
        <v>#N/A</v>
      </c>
      <c r="C643" s="9" t="e">
        <f>RADIANS(B643)</f>
        <v>#N/A</v>
      </c>
      <c r="D643" s="9" t="e">
        <f>($B$3+$B$4)*COS(C643)-$B$4*COS((($B$3+$B$4)/$B$4)*C643)</f>
        <v>#N/A</v>
      </c>
      <c r="E643" s="9" t="e">
        <f>($B$3+$B$4)*SIN(C643)-$B$4*SIN((($B$3+$B$4)/$B$4)*C643)</f>
        <v>#N/A</v>
      </c>
      <c r="F643" s="5"/>
      <c r="G643" s="5"/>
      <c r="H643" s="5"/>
    </row>
    <row r="644" spans="1:8" x14ac:dyDescent="0.3">
      <c r="A644" s="9">
        <f>ROW()-ROW($A$14)</f>
        <v>630</v>
      </c>
      <c r="B644" s="9" t="e">
        <f>IF(A644&lt;=$B$8,$B$6+(A644-1)*($B$7-$B$6)/MAX(1,$B$8-1),NA())</f>
        <v>#N/A</v>
      </c>
      <c r="C644" s="9" t="e">
        <f>RADIANS(B644)</f>
        <v>#N/A</v>
      </c>
      <c r="D644" s="9" t="e">
        <f>($B$3+$B$4)*COS(C644)-$B$4*COS((($B$3+$B$4)/$B$4)*C644)</f>
        <v>#N/A</v>
      </c>
      <c r="E644" s="9" t="e">
        <f>($B$3+$B$4)*SIN(C644)-$B$4*SIN((($B$3+$B$4)/$B$4)*C644)</f>
        <v>#N/A</v>
      </c>
      <c r="F644" s="5"/>
      <c r="G644" s="5"/>
      <c r="H644" s="5"/>
    </row>
    <row r="645" spans="1:8" x14ac:dyDescent="0.3">
      <c r="A645" s="9">
        <f>ROW()-ROW($A$14)</f>
        <v>631</v>
      </c>
      <c r="B645" s="9" t="e">
        <f>IF(A645&lt;=$B$8,$B$6+(A645-1)*($B$7-$B$6)/MAX(1,$B$8-1),NA())</f>
        <v>#N/A</v>
      </c>
      <c r="C645" s="9" t="e">
        <f>RADIANS(B645)</f>
        <v>#N/A</v>
      </c>
      <c r="D645" s="9" t="e">
        <f>($B$3+$B$4)*COS(C645)-$B$4*COS((($B$3+$B$4)/$B$4)*C645)</f>
        <v>#N/A</v>
      </c>
      <c r="E645" s="9" t="e">
        <f>($B$3+$B$4)*SIN(C645)-$B$4*SIN((($B$3+$B$4)/$B$4)*C645)</f>
        <v>#N/A</v>
      </c>
      <c r="F645" s="5"/>
      <c r="G645" s="5"/>
      <c r="H645" s="5"/>
    </row>
    <row r="646" spans="1:8" x14ac:dyDescent="0.3">
      <c r="A646" s="9">
        <f>ROW()-ROW($A$14)</f>
        <v>632</v>
      </c>
      <c r="B646" s="9" t="e">
        <f>IF(A646&lt;=$B$8,$B$6+(A646-1)*($B$7-$B$6)/MAX(1,$B$8-1),NA())</f>
        <v>#N/A</v>
      </c>
      <c r="C646" s="9" t="e">
        <f>RADIANS(B646)</f>
        <v>#N/A</v>
      </c>
      <c r="D646" s="9" t="e">
        <f>($B$3+$B$4)*COS(C646)-$B$4*COS((($B$3+$B$4)/$B$4)*C646)</f>
        <v>#N/A</v>
      </c>
      <c r="E646" s="9" t="e">
        <f>($B$3+$B$4)*SIN(C646)-$B$4*SIN((($B$3+$B$4)/$B$4)*C646)</f>
        <v>#N/A</v>
      </c>
      <c r="F646" s="5"/>
      <c r="G646" s="5"/>
      <c r="H646" s="5"/>
    </row>
    <row r="647" spans="1:8" x14ac:dyDescent="0.3">
      <c r="A647" s="9">
        <f>ROW()-ROW($A$14)</f>
        <v>633</v>
      </c>
      <c r="B647" s="9" t="e">
        <f>IF(A647&lt;=$B$8,$B$6+(A647-1)*($B$7-$B$6)/MAX(1,$B$8-1),NA())</f>
        <v>#N/A</v>
      </c>
      <c r="C647" s="9" t="e">
        <f>RADIANS(B647)</f>
        <v>#N/A</v>
      </c>
      <c r="D647" s="9" t="e">
        <f>($B$3+$B$4)*COS(C647)-$B$4*COS((($B$3+$B$4)/$B$4)*C647)</f>
        <v>#N/A</v>
      </c>
      <c r="E647" s="9" t="e">
        <f>($B$3+$B$4)*SIN(C647)-$B$4*SIN((($B$3+$B$4)/$B$4)*C647)</f>
        <v>#N/A</v>
      </c>
      <c r="F647" s="5"/>
      <c r="G647" s="5"/>
      <c r="H647" s="5"/>
    </row>
    <row r="648" spans="1:8" x14ac:dyDescent="0.3">
      <c r="A648" s="9">
        <f>ROW()-ROW($A$14)</f>
        <v>634</v>
      </c>
      <c r="B648" s="9" t="e">
        <f>IF(A648&lt;=$B$8,$B$6+(A648-1)*($B$7-$B$6)/MAX(1,$B$8-1),NA())</f>
        <v>#N/A</v>
      </c>
      <c r="C648" s="9" t="e">
        <f>RADIANS(B648)</f>
        <v>#N/A</v>
      </c>
      <c r="D648" s="9" t="e">
        <f>($B$3+$B$4)*COS(C648)-$B$4*COS((($B$3+$B$4)/$B$4)*C648)</f>
        <v>#N/A</v>
      </c>
      <c r="E648" s="9" t="e">
        <f>($B$3+$B$4)*SIN(C648)-$B$4*SIN((($B$3+$B$4)/$B$4)*C648)</f>
        <v>#N/A</v>
      </c>
      <c r="F648" s="5"/>
      <c r="G648" s="5"/>
      <c r="H648" s="5"/>
    </row>
    <row r="649" spans="1:8" x14ac:dyDescent="0.3">
      <c r="A649" s="9">
        <f>ROW()-ROW($A$14)</f>
        <v>635</v>
      </c>
      <c r="B649" s="9" t="e">
        <f>IF(A649&lt;=$B$8,$B$6+(A649-1)*($B$7-$B$6)/MAX(1,$B$8-1),NA())</f>
        <v>#N/A</v>
      </c>
      <c r="C649" s="9" t="e">
        <f>RADIANS(B649)</f>
        <v>#N/A</v>
      </c>
      <c r="D649" s="9" t="e">
        <f>($B$3+$B$4)*COS(C649)-$B$4*COS((($B$3+$B$4)/$B$4)*C649)</f>
        <v>#N/A</v>
      </c>
      <c r="E649" s="9" t="e">
        <f>($B$3+$B$4)*SIN(C649)-$B$4*SIN((($B$3+$B$4)/$B$4)*C649)</f>
        <v>#N/A</v>
      </c>
      <c r="F649" s="5"/>
      <c r="G649" s="5"/>
      <c r="H649" s="5"/>
    </row>
    <row r="650" spans="1:8" x14ac:dyDescent="0.3">
      <c r="A650" s="9">
        <f>ROW()-ROW($A$14)</f>
        <v>636</v>
      </c>
      <c r="B650" s="9" t="e">
        <f>IF(A650&lt;=$B$8,$B$6+(A650-1)*($B$7-$B$6)/MAX(1,$B$8-1),NA())</f>
        <v>#N/A</v>
      </c>
      <c r="C650" s="9" t="e">
        <f>RADIANS(B650)</f>
        <v>#N/A</v>
      </c>
      <c r="D650" s="9" t="e">
        <f>($B$3+$B$4)*COS(C650)-$B$4*COS((($B$3+$B$4)/$B$4)*C650)</f>
        <v>#N/A</v>
      </c>
      <c r="E650" s="9" t="e">
        <f>($B$3+$B$4)*SIN(C650)-$B$4*SIN((($B$3+$B$4)/$B$4)*C650)</f>
        <v>#N/A</v>
      </c>
      <c r="F650" s="5"/>
      <c r="G650" s="5"/>
      <c r="H650" s="5"/>
    </row>
    <row r="651" spans="1:8" x14ac:dyDescent="0.3">
      <c r="A651" s="9">
        <f>ROW()-ROW($A$14)</f>
        <v>637</v>
      </c>
      <c r="B651" s="9" t="e">
        <f>IF(A651&lt;=$B$8,$B$6+(A651-1)*($B$7-$B$6)/MAX(1,$B$8-1),NA())</f>
        <v>#N/A</v>
      </c>
      <c r="C651" s="9" t="e">
        <f>RADIANS(B651)</f>
        <v>#N/A</v>
      </c>
      <c r="D651" s="9" t="e">
        <f>($B$3+$B$4)*COS(C651)-$B$4*COS((($B$3+$B$4)/$B$4)*C651)</f>
        <v>#N/A</v>
      </c>
      <c r="E651" s="9" t="e">
        <f>($B$3+$B$4)*SIN(C651)-$B$4*SIN((($B$3+$B$4)/$B$4)*C651)</f>
        <v>#N/A</v>
      </c>
      <c r="F651" s="5"/>
      <c r="G651" s="5"/>
      <c r="H651" s="5"/>
    </row>
    <row r="652" spans="1:8" x14ac:dyDescent="0.3">
      <c r="A652" s="9">
        <f>ROW()-ROW($A$14)</f>
        <v>638</v>
      </c>
      <c r="B652" s="9" t="e">
        <f>IF(A652&lt;=$B$8,$B$6+(A652-1)*($B$7-$B$6)/MAX(1,$B$8-1),NA())</f>
        <v>#N/A</v>
      </c>
      <c r="C652" s="9" t="e">
        <f>RADIANS(B652)</f>
        <v>#N/A</v>
      </c>
      <c r="D652" s="9" t="e">
        <f>($B$3+$B$4)*COS(C652)-$B$4*COS((($B$3+$B$4)/$B$4)*C652)</f>
        <v>#N/A</v>
      </c>
      <c r="E652" s="9" t="e">
        <f>($B$3+$B$4)*SIN(C652)-$B$4*SIN((($B$3+$B$4)/$B$4)*C652)</f>
        <v>#N/A</v>
      </c>
      <c r="F652" s="5"/>
      <c r="G652" s="5"/>
      <c r="H652" s="5"/>
    </row>
    <row r="653" spans="1:8" x14ac:dyDescent="0.3">
      <c r="A653" s="9">
        <f>ROW()-ROW($A$14)</f>
        <v>639</v>
      </c>
      <c r="B653" s="9" t="e">
        <f>IF(A653&lt;=$B$8,$B$6+(A653-1)*($B$7-$B$6)/MAX(1,$B$8-1),NA())</f>
        <v>#N/A</v>
      </c>
      <c r="C653" s="9" t="e">
        <f>RADIANS(B653)</f>
        <v>#N/A</v>
      </c>
      <c r="D653" s="9" t="e">
        <f>($B$3+$B$4)*COS(C653)-$B$4*COS((($B$3+$B$4)/$B$4)*C653)</f>
        <v>#N/A</v>
      </c>
      <c r="E653" s="9" t="e">
        <f>($B$3+$B$4)*SIN(C653)-$B$4*SIN((($B$3+$B$4)/$B$4)*C653)</f>
        <v>#N/A</v>
      </c>
      <c r="F653" s="5"/>
      <c r="G653" s="5"/>
      <c r="H653" s="5"/>
    </row>
    <row r="654" spans="1:8" x14ac:dyDescent="0.3">
      <c r="A654" s="9">
        <f>ROW()-ROW($A$14)</f>
        <v>640</v>
      </c>
      <c r="B654" s="9" t="e">
        <f>IF(A654&lt;=$B$8,$B$6+(A654-1)*($B$7-$B$6)/MAX(1,$B$8-1),NA())</f>
        <v>#N/A</v>
      </c>
      <c r="C654" s="9" t="e">
        <f>RADIANS(B654)</f>
        <v>#N/A</v>
      </c>
      <c r="D654" s="9" t="e">
        <f>($B$3+$B$4)*COS(C654)-$B$4*COS((($B$3+$B$4)/$B$4)*C654)</f>
        <v>#N/A</v>
      </c>
      <c r="E654" s="9" t="e">
        <f>($B$3+$B$4)*SIN(C654)-$B$4*SIN((($B$3+$B$4)/$B$4)*C654)</f>
        <v>#N/A</v>
      </c>
      <c r="F654" s="5"/>
      <c r="G654" s="5"/>
      <c r="H654" s="5"/>
    </row>
    <row r="655" spans="1:8" x14ac:dyDescent="0.3">
      <c r="A655" s="9">
        <f>ROW()-ROW($A$14)</f>
        <v>641</v>
      </c>
      <c r="B655" s="9" t="e">
        <f>IF(A655&lt;=$B$8,$B$6+(A655-1)*($B$7-$B$6)/MAX(1,$B$8-1),NA())</f>
        <v>#N/A</v>
      </c>
      <c r="C655" s="9" t="e">
        <f>RADIANS(B655)</f>
        <v>#N/A</v>
      </c>
      <c r="D655" s="9" t="e">
        <f>($B$3+$B$4)*COS(C655)-$B$4*COS((($B$3+$B$4)/$B$4)*C655)</f>
        <v>#N/A</v>
      </c>
      <c r="E655" s="9" t="e">
        <f>($B$3+$B$4)*SIN(C655)-$B$4*SIN((($B$3+$B$4)/$B$4)*C655)</f>
        <v>#N/A</v>
      </c>
      <c r="F655" s="5"/>
      <c r="G655" s="5"/>
      <c r="H655" s="5"/>
    </row>
    <row r="656" spans="1:8" x14ac:dyDescent="0.3">
      <c r="A656" s="9">
        <f>ROW()-ROW($A$14)</f>
        <v>642</v>
      </c>
      <c r="B656" s="9" t="e">
        <f>IF(A656&lt;=$B$8,$B$6+(A656-1)*($B$7-$B$6)/MAX(1,$B$8-1),NA())</f>
        <v>#N/A</v>
      </c>
      <c r="C656" s="9" t="e">
        <f>RADIANS(B656)</f>
        <v>#N/A</v>
      </c>
      <c r="D656" s="9" t="e">
        <f>($B$3+$B$4)*COS(C656)-$B$4*COS((($B$3+$B$4)/$B$4)*C656)</f>
        <v>#N/A</v>
      </c>
      <c r="E656" s="9" t="e">
        <f>($B$3+$B$4)*SIN(C656)-$B$4*SIN((($B$3+$B$4)/$B$4)*C656)</f>
        <v>#N/A</v>
      </c>
      <c r="F656" s="5"/>
      <c r="G656" s="5"/>
      <c r="H656" s="5"/>
    </row>
    <row r="657" spans="1:8" x14ac:dyDescent="0.3">
      <c r="A657" s="9">
        <f>ROW()-ROW($A$14)</f>
        <v>643</v>
      </c>
      <c r="B657" s="9" t="e">
        <f>IF(A657&lt;=$B$8,$B$6+(A657-1)*($B$7-$B$6)/MAX(1,$B$8-1),NA())</f>
        <v>#N/A</v>
      </c>
      <c r="C657" s="9" t="e">
        <f>RADIANS(B657)</f>
        <v>#N/A</v>
      </c>
      <c r="D657" s="9" t="e">
        <f>($B$3+$B$4)*COS(C657)-$B$4*COS((($B$3+$B$4)/$B$4)*C657)</f>
        <v>#N/A</v>
      </c>
      <c r="E657" s="9" t="e">
        <f>($B$3+$B$4)*SIN(C657)-$B$4*SIN((($B$3+$B$4)/$B$4)*C657)</f>
        <v>#N/A</v>
      </c>
      <c r="F657" s="5"/>
      <c r="G657" s="5"/>
      <c r="H657" s="5"/>
    </row>
    <row r="658" spans="1:8" x14ac:dyDescent="0.3">
      <c r="A658" s="9">
        <f>ROW()-ROW($A$14)</f>
        <v>644</v>
      </c>
      <c r="B658" s="9" t="e">
        <f>IF(A658&lt;=$B$8,$B$6+(A658-1)*($B$7-$B$6)/MAX(1,$B$8-1),NA())</f>
        <v>#N/A</v>
      </c>
      <c r="C658" s="9" t="e">
        <f>RADIANS(B658)</f>
        <v>#N/A</v>
      </c>
      <c r="D658" s="9" t="e">
        <f>($B$3+$B$4)*COS(C658)-$B$4*COS((($B$3+$B$4)/$B$4)*C658)</f>
        <v>#N/A</v>
      </c>
      <c r="E658" s="9" t="e">
        <f>($B$3+$B$4)*SIN(C658)-$B$4*SIN((($B$3+$B$4)/$B$4)*C658)</f>
        <v>#N/A</v>
      </c>
      <c r="F658" s="5"/>
      <c r="G658" s="5"/>
      <c r="H658" s="5"/>
    </row>
    <row r="659" spans="1:8" x14ac:dyDescent="0.3">
      <c r="A659" s="9">
        <f>ROW()-ROW($A$14)</f>
        <v>645</v>
      </c>
      <c r="B659" s="9" t="e">
        <f>IF(A659&lt;=$B$8,$B$6+(A659-1)*($B$7-$B$6)/MAX(1,$B$8-1),NA())</f>
        <v>#N/A</v>
      </c>
      <c r="C659" s="9" t="e">
        <f>RADIANS(B659)</f>
        <v>#N/A</v>
      </c>
      <c r="D659" s="9" t="e">
        <f>($B$3+$B$4)*COS(C659)-$B$4*COS((($B$3+$B$4)/$B$4)*C659)</f>
        <v>#N/A</v>
      </c>
      <c r="E659" s="9" t="e">
        <f>($B$3+$B$4)*SIN(C659)-$B$4*SIN((($B$3+$B$4)/$B$4)*C659)</f>
        <v>#N/A</v>
      </c>
      <c r="F659" s="5"/>
      <c r="G659" s="5"/>
      <c r="H659" s="5"/>
    </row>
    <row r="660" spans="1:8" x14ac:dyDescent="0.3">
      <c r="A660" s="9">
        <f>ROW()-ROW($A$14)</f>
        <v>646</v>
      </c>
      <c r="B660" s="9" t="e">
        <f>IF(A660&lt;=$B$8,$B$6+(A660-1)*($B$7-$B$6)/MAX(1,$B$8-1),NA())</f>
        <v>#N/A</v>
      </c>
      <c r="C660" s="9" t="e">
        <f>RADIANS(B660)</f>
        <v>#N/A</v>
      </c>
      <c r="D660" s="9" t="e">
        <f>($B$3+$B$4)*COS(C660)-$B$4*COS((($B$3+$B$4)/$B$4)*C660)</f>
        <v>#N/A</v>
      </c>
      <c r="E660" s="9" t="e">
        <f>($B$3+$B$4)*SIN(C660)-$B$4*SIN((($B$3+$B$4)/$B$4)*C660)</f>
        <v>#N/A</v>
      </c>
      <c r="F660" s="5"/>
      <c r="G660" s="5"/>
      <c r="H660" s="5"/>
    </row>
    <row r="661" spans="1:8" x14ac:dyDescent="0.3">
      <c r="A661" s="9">
        <f>ROW()-ROW($A$14)</f>
        <v>647</v>
      </c>
      <c r="B661" s="9" t="e">
        <f>IF(A661&lt;=$B$8,$B$6+(A661-1)*($B$7-$B$6)/MAX(1,$B$8-1),NA())</f>
        <v>#N/A</v>
      </c>
      <c r="C661" s="9" t="e">
        <f>RADIANS(B661)</f>
        <v>#N/A</v>
      </c>
      <c r="D661" s="9" t="e">
        <f>($B$3+$B$4)*COS(C661)-$B$4*COS((($B$3+$B$4)/$B$4)*C661)</f>
        <v>#N/A</v>
      </c>
      <c r="E661" s="9" t="e">
        <f>($B$3+$B$4)*SIN(C661)-$B$4*SIN((($B$3+$B$4)/$B$4)*C661)</f>
        <v>#N/A</v>
      </c>
      <c r="F661" s="5"/>
      <c r="G661" s="5"/>
      <c r="H661" s="5"/>
    </row>
    <row r="662" spans="1:8" x14ac:dyDescent="0.3">
      <c r="A662" s="9">
        <f>ROW()-ROW($A$14)</f>
        <v>648</v>
      </c>
      <c r="B662" s="9" t="e">
        <f>IF(A662&lt;=$B$8,$B$6+(A662-1)*($B$7-$B$6)/MAX(1,$B$8-1),NA())</f>
        <v>#N/A</v>
      </c>
      <c r="C662" s="9" t="e">
        <f>RADIANS(B662)</f>
        <v>#N/A</v>
      </c>
      <c r="D662" s="9" t="e">
        <f>($B$3+$B$4)*COS(C662)-$B$4*COS((($B$3+$B$4)/$B$4)*C662)</f>
        <v>#N/A</v>
      </c>
      <c r="E662" s="9" t="e">
        <f>($B$3+$B$4)*SIN(C662)-$B$4*SIN((($B$3+$B$4)/$B$4)*C662)</f>
        <v>#N/A</v>
      </c>
      <c r="F662" s="5"/>
      <c r="G662" s="5"/>
      <c r="H662" s="5"/>
    </row>
    <row r="663" spans="1:8" x14ac:dyDescent="0.3">
      <c r="A663" s="9">
        <f>ROW()-ROW($A$14)</f>
        <v>649</v>
      </c>
      <c r="B663" s="9" t="e">
        <f>IF(A663&lt;=$B$8,$B$6+(A663-1)*($B$7-$B$6)/MAX(1,$B$8-1),NA())</f>
        <v>#N/A</v>
      </c>
      <c r="C663" s="9" t="e">
        <f>RADIANS(B663)</f>
        <v>#N/A</v>
      </c>
      <c r="D663" s="9" t="e">
        <f>($B$3+$B$4)*COS(C663)-$B$4*COS((($B$3+$B$4)/$B$4)*C663)</f>
        <v>#N/A</v>
      </c>
      <c r="E663" s="9" t="e">
        <f>($B$3+$B$4)*SIN(C663)-$B$4*SIN((($B$3+$B$4)/$B$4)*C663)</f>
        <v>#N/A</v>
      </c>
      <c r="F663" s="5"/>
      <c r="G663" s="5"/>
      <c r="H663" s="5"/>
    </row>
    <row r="664" spans="1:8" x14ac:dyDescent="0.3">
      <c r="A664" s="9">
        <f>ROW()-ROW($A$14)</f>
        <v>650</v>
      </c>
      <c r="B664" s="9" t="e">
        <f>IF(A664&lt;=$B$8,$B$6+(A664-1)*($B$7-$B$6)/MAX(1,$B$8-1),NA())</f>
        <v>#N/A</v>
      </c>
      <c r="C664" s="9" t="e">
        <f>RADIANS(B664)</f>
        <v>#N/A</v>
      </c>
      <c r="D664" s="9" t="e">
        <f>($B$3+$B$4)*COS(C664)-$B$4*COS((($B$3+$B$4)/$B$4)*C664)</f>
        <v>#N/A</v>
      </c>
      <c r="E664" s="9" t="e">
        <f>($B$3+$B$4)*SIN(C664)-$B$4*SIN((($B$3+$B$4)/$B$4)*C664)</f>
        <v>#N/A</v>
      </c>
      <c r="F664" s="5"/>
      <c r="G664" s="5"/>
      <c r="H664" s="5"/>
    </row>
    <row r="665" spans="1:8" x14ac:dyDescent="0.3">
      <c r="A665" s="9">
        <f>ROW()-ROW($A$14)</f>
        <v>651</v>
      </c>
      <c r="B665" s="9" t="e">
        <f>IF(A665&lt;=$B$8,$B$6+(A665-1)*($B$7-$B$6)/MAX(1,$B$8-1),NA())</f>
        <v>#N/A</v>
      </c>
      <c r="C665" s="9" t="e">
        <f>RADIANS(B665)</f>
        <v>#N/A</v>
      </c>
      <c r="D665" s="9" t="e">
        <f>($B$3+$B$4)*COS(C665)-$B$4*COS((($B$3+$B$4)/$B$4)*C665)</f>
        <v>#N/A</v>
      </c>
      <c r="E665" s="9" t="e">
        <f>($B$3+$B$4)*SIN(C665)-$B$4*SIN((($B$3+$B$4)/$B$4)*C665)</f>
        <v>#N/A</v>
      </c>
      <c r="F665" s="5"/>
      <c r="G665" s="5"/>
      <c r="H665" s="5"/>
    </row>
    <row r="666" spans="1:8" x14ac:dyDescent="0.3">
      <c r="A666" s="9">
        <f>ROW()-ROW($A$14)</f>
        <v>652</v>
      </c>
      <c r="B666" s="9" t="e">
        <f>IF(A666&lt;=$B$8,$B$6+(A666-1)*($B$7-$B$6)/MAX(1,$B$8-1),NA())</f>
        <v>#N/A</v>
      </c>
      <c r="C666" s="9" t="e">
        <f>RADIANS(B666)</f>
        <v>#N/A</v>
      </c>
      <c r="D666" s="9" t="e">
        <f>($B$3+$B$4)*COS(C666)-$B$4*COS((($B$3+$B$4)/$B$4)*C666)</f>
        <v>#N/A</v>
      </c>
      <c r="E666" s="9" t="e">
        <f>($B$3+$B$4)*SIN(C666)-$B$4*SIN((($B$3+$B$4)/$B$4)*C666)</f>
        <v>#N/A</v>
      </c>
      <c r="F666" s="5"/>
      <c r="G666" s="5"/>
      <c r="H666" s="5"/>
    </row>
    <row r="667" spans="1:8" x14ac:dyDescent="0.3">
      <c r="A667" s="9">
        <f>ROW()-ROW($A$14)</f>
        <v>653</v>
      </c>
      <c r="B667" s="9" t="e">
        <f>IF(A667&lt;=$B$8,$B$6+(A667-1)*($B$7-$B$6)/MAX(1,$B$8-1),NA())</f>
        <v>#N/A</v>
      </c>
      <c r="C667" s="9" t="e">
        <f>RADIANS(B667)</f>
        <v>#N/A</v>
      </c>
      <c r="D667" s="9" t="e">
        <f>($B$3+$B$4)*COS(C667)-$B$4*COS((($B$3+$B$4)/$B$4)*C667)</f>
        <v>#N/A</v>
      </c>
      <c r="E667" s="9" t="e">
        <f>($B$3+$B$4)*SIN(C667)-$B$4*SIN((($B$3+$B$4)/$B$4)*C667)</f>
        <v>#N/A</v>
      </c>
      <c r="F667" s="5"/>
      <c r="G667" s="5"/>
      <c r="H667" s="5"/>
    </row>
    <row r="668" spans="1:8" x14ac:dyDescent="0.3">
      <c r="A668" s="9">
        <f>ROW()-ROW($A$14)</f>
        <v>654</v>
      </c>
      <c r="B668" s="9" t="e">
        <f>IF(A668&lt;=$B$8,$B$6+(A668-1)*($B$7-$B$6)/MAX(1,$B$8-1),NA())</f>
        <v>#N/A</v>
      </c>
      <c r="C668" s="9" t="e">
        <f>RADIANS(B668)</f>
        <v>#N/A</v>
      </c>
      <c r="D668" s="9" t="e">
        <f>($B$3+$B$4)*COS(C668)-$B$4*COS((($B$3+$B$4)/$B$4)*C668)</f>
        <v>#N/A</v>
      </c>
      <c r="E668" s="9" t="e">
        <f>($B$3+$B$4)*SIN(C668)-$B$4*SIN((($B$3+$B$4)/$B$4)*C668)</f>
        <v>#N/A</v>
      </c>
      <c r="F668" s="5"/>
      <c r="G668" s="5"/>
      <c r="H668" s="5"/>
    </row>
    <row r="669" spans="1:8" x14ac:dyDescent="0.3">
      <c r="A669" s="9">
        <f>ROW()-ROW($A$14)</f>
        <v>655</v>
      </c>
      <c r="B669" s="9" t="e">
        <f>IF(A669&lt;=$B$8,$B$6+(A669-1)*($B$7-$B$6)/MAX(1,$B$8-1),NA())</f>
        <v>#N/A</v>
      </c>
      <c r="C669" s="9" t="e">
        <f>RADIANS(B669)</f>
        <v>#N/A</v>
      </c>
      <c r="D669" s="9" t="e">
        <f>($B$3+$B$4)*COS(C669)-$B$4*COS((($B$3+$B$4)/$B$4)*C669)</f>
        <v>#N/A</v>
      </c>
      <c r="E669" s="9" t="e">
        <f>($B$3+$B$4)*SIN(C669)-$B$4*SIN((($B$3+$B$4)/$B$4)*C669)</f>
        <v>#N/A</v>
      </c>
      <c r="F669" s="5"/>
      <c r="G669" s="5"/>
      <c r="H669" s="5"/>
    </row>
    <row r="670" spans="1:8" x14ac:dyDescent="0.3">
      <c r="A670" s="9">
        <f>ROW()-ROW($A$14)</f>
        <v>656</v>
      </c>
      <c r="B670" s="9" t="e">
        <f>IF(A670&lt;=$B$8,$B$6+(A670-1)*($B$7-$B$6)/MAX(1,$B$8-1),NA())</f>
        <v>#N/A</v>
      </c>
      <c r="C670" s="9" t="e">
        <f>RADIANS(B670)</f>
        <v>#N/A</v>
      </c>
      <c r="D670" s="9" t="e">
        <f>($B$3+$B$4)*COS(C670)-$B$4*COS((($B$3+$B$4)/$B$4)*C670)</f>
        <v>#N/A</v>
      </c>
      <c r="E670" s="9" t="e">
        <f>($B$3+$B$4)*SIN(C670)-$B$4*SIN((($B$3+$B$4)/$B$4)*C670)</f>
        <v>#N/A</v>
      </c>
      <c r="F670" s="5"/>
      <c r="G670" s="5"/>
      <c r="H670" s="5"/>
    </row>
    <row r="671" spans="1:8" x14ac:dyDescent="0.3">
      <c r="A671" s="9">
        <f>ROW()-ROW($A$14)</f>
        <v>657</v>
      </c>
      <c r="B671" s="9" t="e">
        <f>IF(A671&lt;=$B$8,$B$6+(A671-1)*($B$7-$B$6)/MAX(1,$B$8-1),NA())</f>
        <v>#N/A</v>
      </c>
      <c r="C671" s="9" t="e">
        <f>RADIANS(B671)</f>
        <v>#N/A</v>
      </c>
      <c r="D671" s="9" t="e">
        <f>($B$3+$B$4)*COS(C671)-$B$4*COS((($B$3+$B$4)/$B$4)*C671)</f>
        <v>#N/A</v>
      </c>
      <c r="E671" s="9" t="e">
        <f>($B$3+$B$4)*SIN(C671)-$B$4*SIN((($B$3+$B$4)/$B$4)*C671)</f>
        <v>#N/A</v>
      </c>
      <c r="F671" s="5"/>
      <c r="G671" s="5"/>
      <c r="H671" s="5"/>
    </row>
    <row r="672" spans="1:8" x14ac:dyDescent="0.3">
      <c r="A672" s="9">
        <f>ROW()-ROW($A$14)</f>
        <v>658</v>
      </c>
      <c r="B672" s="9" t="e">
        <f>IF(A672&lt;=$B$8,$B$6+(A672-1)*($B$7-$B$6)/MAX(1,$B$8-1),NA())</f>
        <v>#N/A</v>
      </c>
      <c r="C672" s="9" t="e">
        <f>RADIANS(B672)</f>
        <v>#N/A</v>
      </c>
      <c r="D672" s="9" t="e">
        <f>($B$3+$B$4)*COS(C672)-$B$4*COS((($B$3+$B$4)/$B$4)*C672)</f>
        <v>#N/A</v>
      </c>
      <c r="E672" s="9" t="e">
        <f>($B$3+$B$4)*SIN(C672)-$B$4*SIN((($B$3+$B$4)/$B$4)*C672)</f>
        <v>#N/A</v>
      </c>
      <c r="F672" s="5"/>
      <c r="G672" s="5"/>
      <c r="H672" s="5"/>
    </row>
    <row r="673" spans="1:8" x14ac:dyDescent="0.3">
      <c r="A673" s="9">
        <f>ROW()-ROW($A$14)</f>
        <v>659</v>
      </c>
      <c r="B673" s="9" t="e">
        <f>IF(A673&lt;=$B$8,$B$6+(A673-1)*($B$7-$B$6)/MAX(1,$B$8-1),NA())</f>
        <v>#N/A</v>
      </c>
      <c r="C673" s="9" t="e">
        <f>RADIANS(B673)</f>
        <v>#N/A</v>
      </c>
      <c r="D673" s="9" t="e">
        <f>($B$3+$B$4)*COS(C673)-$B$4*COS((($B$3+$B$4)/$B$4)*C673)</f>
        <v>#N/A</v>
      </c>
      <c r="E673" s="9" t="e">
        <f>($B$3+$B$4)*SIN(C673)-$B$4*SIN((($B$3+$B$4)/$B$4)*C673)</f>
        <v>#N/A</v>
      </c>
      <c r="F673" s="5"/>
      <c r="G673" s="5"/>
      <c r="H673" s="5"/>
    </row>
    <row r="674" spans="1:8" x14ac:dyDescent="0.3">
      <c r="A674" s="9">
        <f>ROW()-ROW($A$14)</f>
        <v>660</v>
      </c>
      <c r="B674" s="9" t="e">
        <f>IF(A674&lt;=$B$8,$B$6+(A674-1)*($B$7-$B$6)/MAX(1,$B$8-1),NA())</f>
        <v>#N/A</v>
      </c>
      <c r="C674" s="9" t="e">
        <f>RADIANS(B674)</f>
        <v>#N/A</v>
      </c>
      <c r="D674" s="9" t="e">
        <f>($B$3+$B$4)*COS(C674)-$B$4*COS((($B$3+$B$4)/$B$4)*C674)</f>
        <v>#N/A</v>
      </c>
      <c r="E674" s="9" t="e">
        <f>($B$3+$B$4)*SIN(C674)-$B$4*SIN((($B$3+$B$4)/$B$4)*C674)</f>
        <v>#N/A</v>
      </c>
      <c r="F674" s="5"/>
      <c r="G674" s="5"/>
      <c r="H674" s="5"/>
    </row>
    <row r="675" spans="1:8" x14ac:dyDescent="0.3">
      <c r="A675" s="9">
        <f>ROW()-ROW($A$14)</f>
        <v>661</v>
      </c>
      <c r="B675" s="9" t="e">
        <f>IF(A675&lt;=$B$8,$B$6+(A675-1)*($B$7-$B$6)/MAX(1,$B$8-1),NA())</f>
        <v>#N/A</v>
      </c>
      <c r="C675" s="9" t="e">
        <f>RADIANS(B675)</f>
        <v>#N/A</v>
      </c>
      <c r="D675" s="9" t="e">
        <f>($B$3+$B$4)*COS(C675)-$B$4*COS((($B$3+$B$4)/$B$4)*C675)</f>
        <v>#N/A</v>
      </c>
      <c r="E675" s="9" t="e">
        <f>($B$3+$B$4)*SIN(C675)-$B$4*SIN((($B$3+$B$4)/$B$4)*C675)</f>
        <v>#N/A</v>
      </c>
      <c r="F675" s="5"/>
      <c r="G675" s="5"/>
      <c r="H675" s="5"/>
    </row>
    <row r="676" spans="1:8" x14ac:dyDescent="0.3">
      <c r="A676" s="9">
        <f>ROW()-ROW($A$14)</f>
        <v>662</v>
      </c>
      <c r="B676" s="9" t="e">
        <f>IF(A676&lt;=$B$8,$B$6+(A676-1)*($B$7-$B$6)/MAX(1,$B$8-1),NA())</f>
        <v>#N/A</v>
      </c>
      <c r="C676" s="9" t="e">
        <f>RADIANS(B676)</f>
        <v>#N/A</v>
      </c>
      <c r="D676" s="9" t="e">
        <f>($B$3+$B$4)*COS(C676)-$B$4*COS((($B$3+$B$4)/$B$4)*C676)</f>
        <v>#N/A</v>
      </c>
      <c r="E676" s="9" t="e">
        <f>($B$3+$B$4)*SIN(C676)-$B$4*SIN((($B$3+$B$4)/$B$4)*C676)</f>
        <v>#N/A</v>
      </c>
      <c r="F676" s="5"/>
      <c r="G676" s="5"/>
      <c r="H676" s="5"/>
    </row>
    <row r="677" spans="1:8" x14ac:dyDescent="0.3">
      <c r="A677" s="9">
        <f>ROW()-ROW($A$14)</f>
        <v>663</v>
      </c>
      <c r="B677" s="9" t="e">
        <f>IF(A677&lt;=$B$8,$B$6+(A677-1)*($B$7-$B$6)/MAX(1,$B$8-1),NA())</f>
        <v>#N/A</v>
      </c>
      <c r="C677" s="9" t="e">
        <f>RADIANS(B677)</f>
        <v>#N/A</v>
      </c>
      <c r="D677" s="9" t="e">
        <f>($B$3+$B$4)*COS(C677)-$B$4*COS((($B$3+$B$4)/$B$4)*C677)</f>
        <v>#N/A</v>
      </c>
      <c r="E677" s="9" t="e">
        <f>($B$3+$B$4)*SIN(C677)-$B$4*SIN((($B$3+$B$4)/$B$4)*C677)</f>
        <v>#N/A</v>
      </c>
      <c r="F677" s="5"/>
      <c r="G677" s="5"/>
      <c r="H677" s="5"/>
    </row>
    <row r="678" spans="1:8" x14ac:dyDescent="0.3">
      <c r="A678" s="9">
        <f>ROW()-ROW($A$14)</f>
        <v>664</v>
      </c>
      <c r="B678" s="9" t="e">
        <f>IF(A678&lt;=$B$8,$B$6+(A678-1)*($B$7-$B$6)/MAX(1,$B$8-1),NA())</f>
        <v>#N/A</v>
      </c>
      <c r="C678" s="9" t="e">
        <f>RADIANS(B678)</f>
        <v>#N/A</v>
      </c>
      <c r="D678" s="9" t="e">
        <f>($B$3+$B$4)*COS(C678)-$B$4*COS((($B$3+$B$4)/$B$4)*C678)</f>
        <v>#N/A</v>
      </c>
      <c r="E678" s="9" t="e">
        <f>($B$3+$B$4)*SIN(C678)-$B$4*SIN((($B$3+$B$4)/$B$4)*C678)</f>
        <v>#N/A</v>
      </c>
      <c r="F678" s="5"/>
      <c r="G678" s="5"/>
      <c r="H678" s="5"/>
    </row>
    <row r="679" spans="1:8" x14ac:dyDescent="0.3">
      <c r="A679" s="9">
        <f>ROW()-ROW($A$14)</f>
        <v>665</v>
      </c>
      <c r="B679" s="9" t="e">
        <f>IF(A679&lt;=$B$8,$B$6+(A679-1)*($B$7-$B$6)/MAX(1,$B$8-1),NA())</f>
        <v>#N/A</v>
      </c>
      <c r="C679" s="9" t="e">
        <f>RADIANS(B679)</f>
        <v>#N/A</v>
      </c>
      <c r="D679" s="9" t="e">
        <f>($B$3+$B$4)*COS(C679)-$B$4*COS((($B$3+$B$4)/$B$4)*C679)</f>
        <v>#N/A</v>
      </c>
      <c r="E679" s="9" t="e">
        <f>($B$3+$B$4)*SIN(C679)-$B$4*SIN((($B$3+$B$4)/$B$4)*C679)</f>
        <v>#N/A</v>
      </c>
      <c r="F679" s="5"/>
      <c r="G679" s="5"/>
      <c r="H679" s="5"/>
    </row>
    <row r="680" spans="1:8" x14ac:dyDescent="0.3">
      <c r="A680" s="9">
        <f>ROW()-ROW($A$14)</f>
        <v>666</v>
      </c>
      <c r="B680" s="9" t="e">
        <f>IF(A680&lt;=$B$8,$B$6+(A680-1)*($B$7-$B$6)/MAX(1,$B$8-1),NA())</f>
        <v>#N/A</v>
      </c>
      <c r="C680" s="9" t="e">
        <f>RADIANS(B680)</f>
        <v>#N/A</v>
      </c>
      <c r="D680" s="9" t="e">
        <f>($B$3+$B$4)*COS(C680)-$B$4*COS((($B$3+$B$4)/$B$4)*C680)</f>
        <v>#N/A</v>
      </c>
      <c r="E680" s="9" t="e">
        <f>($B$3+$B$4)*SIN(C680)-$B$4*SIN((($B$3+$B$4)/$B$4)*C680)</f>
        <v>#N/A</v>
      </c>
      <c r="F680" s="5"/>
      <c r="G680" s="5"/>
      <c r="H680" s="5"/>
    </row>
    <row r="681" spans="1:8" x14ac:dyDescent="0.3">
      <c r="A681" s="9">
        <f>ROW()-ROW($A$14)</f>
        <v>667</v>
      </c>
      <c r="B681" s="9" t="e">
        <f>IF(A681&lt;=$B$8,$B$6+(A681-1)*($B$7-$B$6)/MAX(1,$B$8-1),NA())</f>
        <v>#N/A</v>
      </c>
      <c r="C681" s="9" t="e">
        <f>RADIANS(B681)</f>
        <v>#N/A</v>
      </c>
      <c r="D681" s="9" t="e">
        <f>($B$3+$B$4)*COS(C681)-$B$4*COS((($B$3+$B$4)/$B$4)*C681)</f>
        <v>#N/A</v>
      </c>
      <c r="E681" s="9" t="e">
        <f>($B$3+$B$4)*SIN(C681)-$B$4*SIN((($B$3+$B$4)/$B$4)*C681)</f>
        <v>#N/A</v>
      </c>
      <c r="F681" s="5"/>
      <c r="G681" s="5"/>
      <c r="H681" s="5"/>
    </row>
    <row r="682" spans="1:8" x14ac:dyDescent="0.3">
      <c r="A682" s="9">
        <f>ROW()-ROW($A$14)</f>
        <v>668</v>
      </c>
      <c r="B682" s="9" t="e">
        <f>IF(A682&lt;=$B$8,$B$6+(A682-1)*($B$7-$B$6)/MAX(1,$B$8-1),NA())</f>
        <v>#N/A</v>
      </c>
      <c r="C682" s="9" t="e">
        <f>RADIANS(B682)</f>
        <v>#N/A</v>
      </c>
      <c r="D682" s="9" t="e">
        <f>($B$3+$B$4)*COS(C682)-$B$4*COS((($B$3+$B$4)/$B$4)*C682)</f>
        <v>#N/A</v>
      </c>
      <c r="E682" s="9" t="e">
        <f>($B$3+$B$4)*SIN(C682)-$B$4*SIN((($B$3+$B$4)/$B$4)*C682)</f>
        <v>#N/A</v>
      </c>
      <c r="F682" s="5"/>
      <c r="G682" s="5"/>
      <c r="H682" s="5"/>
    </row>
    <row r="683" spans="1:8" x14ac:dyDescent="0.3">
      <c r="A683" s="9">
        <f>ROW()-ROW($A$14)</f>
        <v>669</v>
      </c>
      <c r="B683" s="9" t="e">
        <f>IF(A683&lt;=$B$8,$B$6+(A683-1)*($B$7-$B$6)/MAX(1,$B$8-1),NA())</f>
        <v>#N/A</v>
      </c>
      <c r="C683" s="9" t="e">
        <f>RADIANS(B683)</f>
        <v>#N/A</v>
      </c>
      <c r="D683" s="9" t="e">
        <f>($B$3+$B$4)*COS(C683)-$B$4*COS((($B$3+$B$4)/$B$4)*C683)</f>
        <v>#N/A</v>
      </c>
      <c r="E683" s="9" t="e">
        <f>($B$3+$B$4)*SIN(C683)-$B$4*SIN((($B$3+$B$4)/$B$4)*C683)</f>
        <v>#N/A</v>
      </c>
      <c r="F683" s="5"/>
      <c r="G683" s="5"/>
      <c r="H683" s="5"/>
    </row>
    <row r="684" spans="1:8" x14ac:dyDescent="0.3">
      <c r="A684" s="9">
        <f>ROW()-ROW($A$14)</f>
        <v>670</v>
      </c>
      <c r="B684" s="9" t="e">
        <f>IF(A684&lt;=$B$8,$B$6+(A684-1)*($B$7-$B$6)/MAX(1,$B$8-1),NA())</f>
        <v>#N/A</v>
      </c>
      <c r="C684" s="9" t="e">
        <f>RADIANS(B684)</f>
        <v>#N/A</v>
      </c>
      <c r="D684" s="9" t="e">
        <f>($B$3+$B$4)*COS(C684)-$B$4*COS((($B$3+$B$4)/$B$4)*C684)</f>
        <v>#N/A</v>
      </c>
      <c r="E684" s="9" t="e">
        <f>($B$3+$B$4)*SIN(C684)-$B$4*SIN((($B$3+$B$4)/$B$4)*C684)</f>
        <v>#N/A</v>
      </c>
      <c r="F684" s="5"/>
      <c r="G684" s="5"/>
      <c r="H684" s="5"/>
    </row>
    <row r="685" spans="1:8" x14ac:dyDescent="0.3">
      <c r="A685" s="9">
        <f>ROW()-ROW($A$14)</f>
        <v>671</v>
      </c>
      <c r="B685" s="9" t="e">
        <f>IF(A685&lt;=$B$8,$B$6+(A685-1)*($B$7-$B$6)/MAX(1,$B$8-1),NA())</f>
        <v>#N/A</v>
      </c>
      <c r="C685" s="9" t="e">
        <f>RADIANS(B685)</f>
        <v>#N/A</v>
      </c>
      <c r="D685" s="9" t="e">
        <f>($B$3+$B$4)*COS(C685)-$B$4*COS((($B$3+$B$4)/$B$4)*C685)</f>
        <v>#N/A</v>
      </c>
      <c r="E685" s="9" t="e">
        <f>($B$3+$B$4)*SIN(C685)-$B$4*SIN((($B$3+$B$4)/$B$4)*C685)</f>
        <v>#N/A</v>
      </c>
      <c r="F685" s="5"/>
      <c r="G685" s="5"/>
      <c r="H685" s="5"/>
    </row>
    <row r="686" spans="1:8" x14ac:dyDescent="0.3">
      <c r="A686" s="9">
        <f>ROW()-ROW($A$14)</f>
        <v>672</v>
      </c>
      <c r="B686" s="9" t="e">
        <f>IF(A686&lt;=$B$8,$B$6+(A686-1)*($B$7-$B$6)/MAX(1,$B$8-1),NA())</f>
        <v>#N/A</v>
      </c>
      <c r="C686" s="9" t="e">
        <f>RADIANS(B686)</f>
        <v>#N/A</v>
      </c>
      <c r="D686" s="9" t="e">
        <f>($B$3+$B$4)*COS(C686)-$B$4*COS((($B$3+$B$4)/$B$4)*C686)</f>
        <v>#N/A</v>
      </c>
      <c r="E686" s="9" t="e">
        <f>($B$3+$B$4)*SIN(C686)-$B$4*SIN((($B$3+$B$4)/$B$4)*C686)</f>
        <v>#N/A</v>
      </c>
      <c r="F686" s="5"/>
      <c r="G686" s="5"/>
      <c r="H686" s="5"/>
    </row>
    <row r="687" spans="1:8" x14ac:dyDescent="0.3">
      <c r="A687" s="9">
        <f>ROW()-ROW($A$14)</f>
        <v>673</v>
      </c>
      <c r="B687" s="9" t="e">
        <f>IF(A687&lt;=$B$8,$B$6+(A687-1)*($B$7-$B$6)/MAX(1,$B$8-1),NA())</f>
        <v>#N/A</v>
      </c>
      <c r="C687" s="9" t="e">
        <f>RADIANS(B687)</f>
        <v>#N/A</v>
      </c>
      <c r="D687" s="9" t="e">
        <f>($B$3+$B$4)*COS(C687)-$B$4*COS((($B$3+$B$4)/$B$4)*C687)</f>
        <v>#N/A</v>
      </c>
      <c r="E687" s="9" t="e">
        <f>($B$3+$B$4)*SIN(C687)-$B$4*SIN((($B$3+$B$4)/$B$4)*C687)</f>
        <v>#N/A</v>
      </c>
      <c r="F687" s="5"/>
      <c r="G687" s="5"/>
      <c r="H687" s="5"/>
    </row>
    <row r="688" spans="1:8" x14ac:dyDescent="0.3">
      <c r="A688" s="9">
        <f>ROW()-ROW($A$14)</f>
        <v>674</v>
      </c>
      <c r="B688" s="9" t="e">
        <f>IF(A688&lt;=$B$8,$B$6+(A688-1)*($B$7-$B$6)/MAX(1,$B$8-1),NA())</f>
        <v>#N/A</v>
      </c>
      <c r="C688" s="9" t="e">
        <f>RADIANS(B688)</f>
        <v>#N/A</v>
      </c>
      <c r="D688" s="9" t="e">
        <f>($B$3+$B$4)*COS(C688)-$B$4*COS((($B$3+$B$4)/$B$4)*C688)</f>
        <v>#N/A</v>
      </c>
      <c r="E688" s="9" t="e">
        <f>($B$3+$B$4)*SIN(C688)-$B$4*SIN((($B$3+$B$4)/$B$4)*C688)</f>
        <v>#N/A</v>
      </c>
      <c r="F688" s="5"/>
      <c r="G688" s="5"/>
      <c r="H688" s="5"/>
    </row>
    <row r="689" spans="1:8" x14ac:dyDescent="0.3">
      <c r="A689" s="9">
        <f>ROW()-ROW($A$14)</f>
        <v>675</v>
      </c>
      <c r="B689" s="9" t="e">
        <f>IF(A689&lt;=$B$8,$B$6+(A689-1)*($B$7-$B$6)/MAX(1,$B$8-1),NA())</f>
        <v>#N/A</v>
      </c>
      <c r="C689" s="9" t="e">
        <f>RADIANS(B689)</f>
        <v>#N/A</v>
      </c>
      <c r="D689" s="9" t="e">
        <f>($B$3+$B$4)*COS(C689)-$B$4*COS((($B$3+$B$4)/$B$4)*C689)</f>
        <v>#N/A</v>
      </c>
      <c r="E689" s="9" t="e">
        <f>($B$3+$B$4)*SIN(C689)-$B$4*SIN((($B$3+$B$4)/$B$4)*C689)</f>
        <v>#N/A</v>
      </c>
      <c r="F689" s="5"/>
      <c r="G689" s="5"/>
      <c r="H689" s="5"/>
    </row>
    <row r="690" spans="1:8" x14ac:dyDescent="0.3">
      <c r="A690" s="9">
        <f>ROW()-ROW($A$14)</f>
        <v>676</v>
      </c>
      <c r="B690" s="9" t="e">
        <f>IF(A690&lt;=$B$8,$B$6+(A690-1)*($B$7-$B$6)/MAX(1,$B$8-1),NA())</f>
        <v>#N/A</v>
      </c>
      <c r="C690" s="9" t="e">
        <f>RADIANS(B690)</f>
        <v>#N/A</v>
      </c>
      <c r="D690" s="9" t="e">
        <f>($B$3+$B$4)*COS(C690)-$B$4*COS((($B$3+$B$4)/$B$4)*C690)</f>
        <v>#N/A</v>
      </c>
      <c r="E690" s="9" t="e">
        <f>($B$3+$B$4)*SIN(C690)-$B$4*SIN((($B$3+$B$4)/$B$4)*C690)</f>
        <v>#N/A</v>
      </c>
      <c r="F690" s="5"/>
      <c r="G690" s="5"/>
      <c r="H690" s="5"/>
    </row>
    <row r="691" spans="1:8" x14ac:dyDescent="0.3">
      <c r="A691" s="9">
        <f>ROW()-ROW($A$14)</f>
        <v>677</v>
      </c>
      <c r="B691" s="9" t="e">
        <f>IF(A691&lt;=$B$8,$B$6+(A691-1)*($B$7-$B$6)/MAX(1,$B$8-1),NA())</f>
        <v>#N/A</v>
      </c>
      <c r="C691" s="9" t="e">
        <f>RADIANS(B691)</f>
        <v>#N/A</v>
      </c>
      <c r="D691" s="9" t="e">
        <f>($B$3+$B$4)*COS(C691)-$B$4*COS((($B$3+$B$4)/$B$4)*C691)</f>
        <v>#N/A</v>
      </c>
      <c r="E691" s="9" t="e">
        <f>($B$3+$B$4)*SIN(C691)-$B$4*SIN((($B$3+$B$4)/$B$4)*C691)</f>
        <v>#N/A</v>
      </c>
      <c r="F691" s="5"/>
      <c r="G691" s="5"/>
      <c r="H691" s="5"/>
    </row>
    <row r="692" spans="1:8" x14ac:dyDescent="0.3">
      <c r="A692" s="9">
        <f>ROW()-ROW($A$14)</f>
        <v>678</v>
      </c>
      <c r="B692" s="9" t="e">
        <f>IF(A692&lt;=$B$8,$B$6+(A692-1)*($B$7-$B$6)/MAX(1,$B$8-1),NA())</f>
        <v>#N/A</v>
      </c>
      <c r="C692" s="9" t="e">
        <f>RADIANS(B692)</f>
        <v>#N/A</v>
      </c>
      <c r="D692" s="9" t="e">
        <f>($B$3+$B$4)*COS(C692)-$B$4*COS((($B$3+$B$4)/$B$4)*C692)</f>
        <v>#N/A</v>
      </c>
      <c r="E692" s="9" t="e">
        <f>($B$3+$B$4)*SIN(C692)-$B$4*SIN((($B$3+$B$4)/$B$4)*C692)</f>
        <v>#N/A</v>
      </c>
      <c r="F692" s="5"/>
      <c r="G692" s="5"/>
      <c r="H692" s="5"/>
    </row>
    <row r="693" spans="1:8" x14ac:dyDescent="0.3">
      <c r="A693" s="9">
        <f>ROW()-ROW($A$14)</f>
        <v>679</v>
      </c>
      <c r="B693" s="9" t="e">
        <f>IF(A693&lt;=$B$8,$B$6+(A693-1)*($B$7-$B$6)/MAX(1,$B$8-1),NA())</f>
        <v>#N/A</v>
      </c>
      <c r="C693" s="9" t="e">
        <f>RADIANS(B693)</f>
        <v>#N/A</v>
      </c>
      <c r="D693" s="9" t="e">
        <f>($B$3+$B$4)*COS(C693)-$B$4*COS((($B$3+$B$4)/$B$4)*C693)</f>
        <v>#N/A</v>
      </c>
      <c r="E693" s="9" t="e">
        <f>($B$3+$B$4)*SIN(C693)-$B$4*SIN((($B$3+$B$4)/$B$4)*C693)</f>
        <v>#N/A</v>
      </c>
      <c r="F693" s="5"/>
      <c r="G693" s="5"/>
      <c r="H693" s="5"/>
    </row>
    <row r="694" spans="1:8" x14ac:dyDescent="0.3">
      <c r="A694" s="9">
        <f>ROW()-ROW($A$14)</f>
        <v>680</v>
      </c>
      <c r="B694" s="9" t="e">
        <f>IF(A694&lt;=$B$8,$B$6+(A694-1)*($B$7-$B$6)/MAX(1,$B$8-1),NA())</f>
        <v>#N/A</v>
      </c>
      <c r="C694" s="9" t="e">
        <f>RADIANS(B694)</f>
        <v>#N/A</v>
      </c>
      <c r="D694" s="9" t="e">
        <f>($B$3+$B$4)*COS(C694)-$B$4*COS((($B$3+$B$4)/$B$4)*C694)</f>
        <v>#N/A</v>
      </c>
      <c r="E694" s="9" t="e">
        <f>($B$3+$B$4)*SIN(C694)-$B$4*SIN((($B$3+$B$4)/$B$4)*C694)</f>
        <v>#N/A</v>
      </c>
      <c r="F694" s="5"/>
      <c r="G694" s="5"/>
      <c r="H694" s="5"/>
    </row>
    <row r="695" spans="1:8" x14ac:dyDescent="0.3">
      <c r="A695" s="9">
        <f>ROW()-ROW($A$14)</f>
        <v>681</v>
      </c>
      <c r="B695" s="9" t="e">
        <f>IF(A695&lt;=$B$8,$B$6+(A695-1)*($B$7-$B$6)/MAX(1,$B$8-1),NA())</f>
        <v>#N/A</v>
      </c>
      <c r="C695" s="9" t="e">
        <f>RADIANS(B695)</f>
        <v>#N/A</v>
      </c>
      <c r="D695" s="9" t="e">
        <f>($B$3+$B$4)*COS(C695)-$B$4*COS((($B$3+$B$4)/$B$4)*C695)</f>
        <v>#N/A</v>
      </c>
      <c r="E695" s="9" t="e">
        <f>($B$3+$B$4)*SIN(C695)-$B$4*SIN((($B$3+$B$4)/$B$4)*C695)</f>
        <v>#N/A</v>
      </c>
      <c r="F695" s="5"/>
      <c r="G695" s="5"/>
      <c r="H695" s="5"/>
    </row>
    <row r="696" spans="1:8" x14ac:dyDescent="0.3">
      <c r="A696" s="9">
        <f>ROW()-ROW($A$14)</f>
        <v>682</v>
      </c>
      <c r="B696" s="9" t="e">
        <f>IF(A696&lt;=$B$8,$B$6+(A696-1)*($B$7-$B$6)/MAX(1,$B$8-1),NA())</f>
        <v>#N/A</v>
      </c>
      <c r="C696" s="9" t="e">
        <f>RADIANS(B696)</f>
        <v>#N/A</v>
      </c>
      <c r="D696" s="9" t="e">
        <f>($B$3+$B$4)*COS(C696)-$B$4*COS((($B$3+$B$4)/$B$4)*C696)</f>
        <v>#N/A</v>
      </c>
      <c r="E696" s="9" t="e">
        <f>($B$3+$B$4)*SIN(C696)-$B$4*SIN((($B$3+$B$4)/$B$4)*C696)</f>
        <v>#N/A</v>
      </c>
      <c r="F696" s="5"/>
      <c r="G696" s="5"/>
      <c r="H696" s="5"/>
    </row>
    <row r="697" spans="1:8" x14ac:dyDescent="0.3">
      <c r="A697" s="9">
        <f>ROW()-ROW($A$14)</f>
        <v>683</v>
      </c>
      <c r="B697" s="9" t="e">
        <f>IF(A697&lt;=$B$8,$B$6+(A697-1)*($B$7-$B$6)/MAX(1,$B$8-1),NA())</f>
        <v>#N/A</v>
      </c>
      <c r="C697" s="9" t="e">
        <f>RADIANS(B697)</f>
        <v>#N/A</v>
      </c>
      <c r="D697" s="9" t="e">
        <f>($B$3+$B$4)*COS(C697)-$B$4*COS((($B$3+$B$4)/$B$4)*C697)</f>
        <v>#N/A</v>
      </c>
      <c r="E697" s="9" t="e">
        <f>($B$3+$B$4)*SIN(C697)-$B$4*SIN((($B$3+$B$4)/$B$4)*C697)</f>
        <v>#N/A</v>
      </c>
      <c r="F697" s="5"/>
      <c r="G697" s="5"/>
      <c r="H697" s="5"/>
    </row>
    <row r="698" spans="1:8" x14ac:dyDescent="0.3">
      <c r="A698" s="9">
        <f>ROW()-ROW($A$14)</f>
        <v>684</v>
      </c>
      <c r="B698" s="9" t="e">
        <f>IF(A698&lt;=$B$8,$B$6+(A698-1)*($B$7-$B$6)/MAX(1,$B$8-1),NA())</f>
        <v>#N/A</v>
      </c>
      <c r="C698" s="9" t="e">
        <f>RADIANS(B698)</f>
        <v>#N/A</v>
      </c>
      <c r="D698" s="9" t="e">
        <f>($B$3+$B$4)*COS(C698)-$B$4*COS((($B$3+$B$4)/$B$4)*C698)</f>
        <v>#N/A</v>
      </c>
      <c r="E698" s="9" t="e">
        <f>($B$3+$B$4)*SIN(C698)-$B$4*SIN((($B$3+$B$4)/$B$4)*C698)</f>
        <v>#N/A</v>
      </c>
      <c r="F698" s="5"/>
      <c r="G698" s="5"/>
      <c r="H698" s="5"/>
    </row>
    <row r="699" spans="1:8" x14ac:dyDescent="0.3">
      <c r="A699" s="9">
        <f>ROW()-ROW($A$14)</f>
        <v>685</v>
      </c>
      <c r="B699" s="9" t="e">
        <f>IF(A699&lt;=$B$8,$B$6+(A699-1)*($B$7-$B$6)/MAX(1,$B$8-1),NA())</f>
        <v>#N/A</v>
      </c>
      <c r="C699" s="9" t="e">
        <f>RADIANS(B699)</f>
        <v>#N/A</v>
      </c>
      <c r="D699" s="9" t="e">
        <f>($B$3+$B$4)*COS(C699)-$B$4*COS((($B$3+$B$4)/$B$4)*C699)</f>
        <v>#N/A</v>
      </c>
      <c r="E699" s="9" t="e">
        <f>($B$3+$B$4)*SIN(C699)-$B$4*SIN((($B$3+$B$4)/$B$4)*C699)</f>
        <v>#N/A</v>
      </c>
      <c r="F699" s="5"/>
      <c r="G699" s="5"/>
      <c r="H699" s="5"/>
    </row>
    <row r="700" spans="1:8" x14ac:dyDescent="0.3">
      <c r="A700" s="9">
        <f>ROW()-ROW($A$14)</f>
        <v>686</v>
      </c>
      <c r="B700" s="9" t="e">
        <f>IF(A700&lt;=$B$8,$B$6+(A700-1)*($B$7-$B$6)/MAX(1,$B$8-1),NA())</f>
        <v>#N/A</v>
      </c>
      <c r="C700" s="9" t="e">
        <f>RADIANS(B700)</f>
        <v>#N/A</v>
      </c>
      <c r="D700" s="9" t="e">
        <f>($B$3+$B$4)*COS(C700)-$B$4*COS((($B$3+$B$4)/$B$4)*C700)</f>
        <v>#N/A</v>
      </c>
      <c r="E700" s="9" t="e">
        <f>($B$3+$B$4)*SIN(C700)-$B$4*SIN((($B$3+$B$4)/$B$4)*C700)</f>
        <v>#N/A</v>
      </c>
      <c r="F700" s="5"/>
      <c r="G700" s="5"/>
      <c r="H700" s="5"/>
    </row>
    <row r="701" spans="1:8" x14ac:dyDescent="0.3">
      <c r="A701" s="9">
        <f>ROW()-ROW($A$14)</f>
        <v>687</v>
      </c>
      <c r="B701" s="9" t="e">
        <f>IF(A701&lt;=$B$8,$B$6+(A701-1)*($B$7-$B$6)/MAX(1,$B$8-1),NA())</f>
        <v>#N/A</v>
      </c>
      <c r="C701" s="9" t="e">
        <f>RADIANS(B701)</f>
        <v>#N/A</v>
      </c>
      <c r="D701" s="9" t="e">
        <f>($B$3+$B$4)*COS(C701)-$B$4*COS((($B$3+$B$4)/$B$4)*C701)</f>
        <v>#N/A</v>
      </c>
      <c r="E701" s="9" t="e">
        <f>($B$3+$B$4)*SIN(C701)-$B$4*SIN((($B$3+$B$4)/$B$4)*C701)</f>
        <v>#N/A</v>
      </c>
      <c r="F701" s="5"/>
      <c r="G701" s="5"/>
      <c r="H701" s="5"/>
    </row>
    <row r="702" spans="1:8" x14ac:dyDescent="0.3">
      <c r="A702" s="9">
        <f>ROW()-ROW($A$14)</f>
        <v>688</v>
      </c>
      <c r="B702" s="9" t="e">
        <f>IF(A702&lt;=$B$8,$B$6+(A702-1)*($B$7-$B$6)/MAX(1,$B$8-1),NA())</f>
        <v>#N/A</v>
      </c>
      <c r="C702" s="9" t="e">
        <f>RADIANS(B702)</f>
        <v>#N/A</v>
      </c>
      <c r="D702" s="9" t="e">
        <f>($B$3+$B$4)*COS(C702)-$B$4*COS((($B$3+$B$4)/$B$4)*C702)</f>
        <v>#N/A</v>
      </c>
      <c r="E702" s="9" t="e">
        <f>($B$3+$B$4)*SIN(C702)-$B$4*SIN((($B$3+$B$4)/$B$4)*C702)</f>
        <v>#N/A</v>
      </c>
      <c r="F702" s="5"/>
      <c r="G702" s="5"/>
      <c r="H702" s="5"/>
    </row>
    <row r="703" spans="1:8" x14ac:dyDescent="0.3">
      <c r="A703" s="9">
        <f>ROW()-ROW($A$14)</f>
        <v>689</v>
      </c>
      <c r="B703" s="9" t="e">
        <f>IF(A703&lt;=$B$8,$B$6+(A703-1)*($B$7-$B$6)/MAX(1,$B$8-1),NA())</f>
        <v>#N/A</v>
      </c>
      <c r="C703" s="9" t="e">
        <f>RADIANS(B703)</f>
        <v>#N/A</v>
      </c>
      <c r="D703" s="9" t="e">
        <f>($B$3+$B$4)*COS(C703)-$B$4*COS((($B$3+$B$4)/$B$4)*C703)</f>
        <v>#N/A</v>
      </c>
      <c r="E703" s="9" t="e">
        <f>($B$3+$B$4)*SIN(C703)-$B$4*SIN((($B$3+$B$4)/$B$4)*C703)</f>
        <v>#N/A</v>
      </c>
      <c r="F703" s="5"/>
      <c r="G703" s="5"/>
      <c r="H703" s="5"/>
    </row>
    <row r="704" spans="1:8" x14ac:dyDescent="0.3">
      <c r="A704" s="9">
        <f>ROW()-ROW($A$14)</f>
        <v>690</v>
      </c>
      <c r="B704" s="9" t="e">
        <f>IF(A704&lt;=$B$8,$B$6+(A704-1)*($B$7-$B$6)/MAX(1,$B$8-1),NA())</f>
        <v>#N/A</v>
      </c>
      <c r="C704" s="9" t="e">
        <f>RADIANS(B704)</f>
        <v>#N/A</v>
      </c>
      <c r="D704" s="9" t="e">
        <f>($B$3+$B$4)*COS(C704)-$B$4*COS((($B$3+$B$4)/$B$4)*C704)</f>
        <v>#N/A</v>
      </c>
      <c r="E704" s="9" t="e">
        <f>($B$3+$B$4)*SIN(C704)-$B$4*SIN((($B$3+$B$4)/$B$4)*C704)</f>
        <v>#N/A</v>
      </c>
      <c r="F704" s="5"/>
      <c r="G704" s="5"/>
      <c r="H704" s="5"/>
    </row>
    <row r="705" spans="1:8" x14ac:dyDescent="0.3">
      <c r="A705" s="9">
        <f>ROW()-ROW($A$14)</f>
        <v>691</v>
      </c>
      <c r="B705" s="9" t="e">
        <f>IF(A705&lt;=$B$8,$B$6+(A705-1)*($B$7-$B$6)/MAX(1,$B$8-1),NA())</f>
        <v>#N/A</v>
      </c>
      <c r="C705" s="9" t="e">
        <f>RADIANS(B705)</f>
        <v>#N/A</v>
      </c>
      <c r="D705" s="9" t="e">
        <f>($B$3+$B$4)*COS(C705)-$B$4*COS((($B$3+$B$4)/$B$4)*C705)</f>
        <v>#N/A</v>
      </c>
      <c r="E705" s="9" t="e">
        <f>($B$3+$B$4)*SIN(C705)-$B$4*SIN((($B$3+$B$4)/$B$4)*C705)</f>
        <v>#N/A</v>
      </c>
      <c r="F705" s="5"/>
      <c r="G705" s="5"/>
      <c r="H705" s="5"/>
    </row>
    <row r="706" spans="1:8" x14ac:dyDescent="0.3">
      <c r="A706" s="9">
        <f>ROW()-ROW($A$14)</f>
        <v>692</v>
      </c>
      <c r="B706" s="9" t="e">
        <f>IF(A706&lt;=$B$8,$B$6+(A706-1)*($B$7-$B$6)/MAX(1,$B$8-1),NA())</f>
        <v>#N/A</v>
      </c>
      <c r="C706" s="9" t="e">
        <f>RADIANS(B706)</f>
        <v>#N/A</v>
      </c>
      <c r="D706" s="9" t="e">
        <f>($B$3+$B$4)*COS(C706)-$B$4*COS((($B$3+$B$4)/$B$4)*C706)</f>
        <v>#N/A</v>
      </c>
      <c r="E706" s="9" t="e">
        <f>($B$3+$B$4)*SIN(C706)-$B$4*SIN((($B$3+$B$4)/$B$4)*C706)</f>
        <v>#N/A</v>
      </c>
      <c r="F706" s="5"/>
      <c r="G706" s="5"/>
      <c r="H706" s="5"/>
    </row>
    <row r="707" spans="1:8" x14ac:dyDescent="0.3">
      <c r="A707" s="9">
        <f>ROW()-ROW($A$14)</f>
        <v>693</v>
      </c>
      <c r="B707" s="9" t="e">
        <f>IF(A707&lt;=$B$8,$B$6+(A707-1)*($B$7-$B$6)/MAX(1,$B$8-1),NA())</f>
        <v>#N/A</v>
      </c>
      <c r="C707" s="9" t="e">
        <f>RADIANS(B707)</f>
        <v>#N/A</v>
      </c>
      <c r="D707" s="9" t="e">
        <f>($B$3+$B$4)*COS(C707)-$B$4*COS((($B$3+$B$4)/$B$4)*C707)</f>
        <v>#N/A</v>
      </c>
      <c r="E707" s="9" t="e">
        <f>($B$3+$B$4)*SIN(C707)-$B$4*SIN((($B$3+$B$4)/$B$4)*C707)</f>
        <v>#N/A</v>
      </c>
      <c r="F707" s="5"/>
      <c r="G707" s="5"/>
      <c r="H707" s="5"/>
    </row>
    <row r="708" spans="1:8" x14ac:dyDescent="0.3">
      <c r="A708" s="9">
        <f>ROW()-ROW($A$14)</f>
        <v>694</v>
      </c>
      <c r="B708" s="9" t="e">
        <f>IF(A708&lt;=$B$8,$B$6+(A708-1)*($B$7-$B$6)/MAX(1,$B$8-1),NA())</f>
        <v>#N/A</v>
      </c>
      <c r="C708" s="9" t="e">
        <f>RADIANS(B708)</f>
        <v>#N/A</v>
      </c>
      <c r="D708" s="9" t="e">
        <f>($B$3+$B$4)*COS(C708)-$B$4*COS((($B$3+$B$4)/$B$4)*C708)</f>
        <v>#N/A</v>
      </c>
      <c r="E708" s="9" t="e">
        <f>($B$3+$B$4)*SIN(C708)-$B$4*SIN((($B$3+$B$4)/$B$4)*C708)</f>
        <v>#N/A</v>
      </c>
      <c r="F708" s="5"/>
      <c r="G708" s="5"/>
      <c r="H708" s="5"/>
    </row>
    <row r="709" spans="1:8" x14ac:dyDescent="0.3">
      <c r="A709" s="9">
        <f>ROW()-ROW($A$14)</f>
        <v>695</v>
      </c>
      <c r="B709" s="9" t="e">
        <f>IF(A709&lt;=$B$8,$B$6+(A709-1)*($B$7-$B$6)/MAX(1,$B$8-1),NA())</f>
        <v>#N/A</v>
      </c>
      <c r="C709" s="9" t="e">
        <f>RADIANS(B709)</f>
        <v>#N/A</v>
      </c>
      <c r="D709" s="9" t="e">
        <f>($B$3+$B$4)*COS(C709)-$B$4*COS((($B$3+$B$4)/$B$4)*C709)</f>
        <v>#N/A</v>
      </c>
      <c r="E709" s="9" t="e">
        <f>($B$3+$B$4)*SIN(C709)-$B$4*SIN((($B$3+$B$4)/$B$4)*C709)</f>
        <v>#N/A</v>
      </c>
      <c r="F709" s="5"/>
      <c r="G709" s="5"/>
      <c r="H709" s="5"/>
    </row>
    <row r="710" spans="1:8" x14ac:dyDescent="0.3">
      <c r="A710" s="9">
        <f>ROW()-ROW($A$14)</f>
        <v>696</v>
      </c>
      <c r="B710" s="9" t="e">
        <f>IF(A710&lt;=$B$8,$B$6+(A710-1)*($B$7-$B$6)/MAX(1,$B$8-1),NA())</f>
        <v>#N/A</v>
      </c>
      <c r="C710" s="9" t="e">
        <f>RADIANS(B710)</f>
        <v>#N/A</v>
      </c>
      <c r="D710" s="9" t="e">
        <f>($B$3+$B$4)*COS(C710)-$B$4*COS((($B$3+$B$4)/$B$4)*C710)</f>
        <v>#N/A</v>
      </c>
      <c r="E710" s="9" t="e">
        <f>($B$3+$B$4)*SIN(C710)-$B$4*SIN((($B$3+$B$4)/$B$4)*C710)</f>
        <v>#N/A</v>
      </c>
      <c r="F710" s="5"/>
      <c r="G710" s="5"/>
      <c r="H710" s="5"/>
    </row>
    <row r="711" spans="1:8" x14ac:dyDescent="0.3">
      <c r="A711" s="9">
        <f>ROW()-ROW($A$14)</f>
        <v>697</v>
      </c>
      <c r="B711" s="9" t="e">
        <f>IF(A711&lt;=$B$8,$B$6+(A711-1)*($B$7-$B$6)/MAX(1,$B$8-1),NA())</f>
        <v>#N/A</v>
      </c>
      <c r="C711" s="9" t="e">
        <f>RADIANS(B711)</f>
        <v>#N/A</v>
      </c>
      <c r="D711" s="9" t="e">
        <f>($B$3+$B$4)*COS(C711)-$B$4*COS((($B$3+$B$4)/$B$4)*C711)</f>
        <v>#N/A</v>
      </c>
      <c r="E711" s="9" t="e">
        <f>($B$3+$B$4)*SIN(C711)-$B$4*SIN((($B$3+$B$4)/$B$4)*C711)</f>
        <v>#N/A</v>
      </c>
      <c r="F711" s="5"/>
      <c r="G711" s="5"/>
      <c r="H711" s="5"/>
    </row>
    <row r="712" spans="1:8" x14ac:dyDescent="0.3">
      <c r="A712" s="9">
        <f>ROW()-ROW($A$14)</f>
        <v>698</v>
      </c>
      <c r="B712" s="9" t="e">
        <f>IF(A712&lt;=$B$8,$B$6+(A712-1)*($B$7-$B$6)/MAX(1,$B$8-1),NA())</f>
        <v>#N/A</v>
      </c>
      <c r="C712" s="9" t="e">
        <f>RADIANS(B712)</f>
        <v>#N/A</v>
      </c>
      <c r="D712" s="9" t="e">
        <f>($B$3+$B$4)*COS(C712)-$B$4*COS((($B$3+$B$4)/$B$4)*C712)</f>
        <v>#N/A</v>
      </c>
      <c r="E712" s="9" t="e">
        <f>($B$3+$B$4)*SIN(C712)-$B$4*SIN((($B$3+$B$4)/$B$4)*C712)</f>
        <v>#N/A</v>
      </c>
      <c r="F712" s="5"/>
      <c r="G712" s="5"/>
      <c r="H712" s="5"/>
    </row>
    <row r="713" spans="1:8" x14ac:dyDescent="0.3">
      <c r="A713" s="9">
        <f>ROW()-ROW($A$14)</f>
        <v>699</v>
      </c>
      <c r="B713" s="9" t="e">
        <f>IF(A713&lt;=$B$8,$B$6+(A713-1)*($B$7-$B$6)/MAX(1,$B$8-1),NA())</f>
        <v>#N/A</v>
      </c>
      <c r="C713" s="9" t="e">
        <f>RADIANS(B713)</f>
        <v>#N/A</v>
      </c>
      <c r="D713" s="9" t="e">
        <f>($B$3+$B$4)*COS(C713)-$B$4*COS((($B$3+$B$4)/$B$4)*C713)</f>
        <v>#N/A</v>
      </c>
      <c r="E713" s="9" t="e">
        <f>($B$3+$B$4)*SIN(C713)-$B$4*SIN((($B$3+$B$4)/$B$4)*C713)</f>
        <v>#N/A</v>
      </c>
      <c r="F713" s="5"/>
      <c r="G713" s="5"/>
      <c r="H713" s="5"/>
    </row>
    <row r="714" spans="1:8" x14ac:dyDescent="0.3">
      <c r="A714" s="9">
        <f>ROW()-ROW($A$14)</f>
        <v>700</v>
      </c>
      <c r="B714" s="9" t="e">
        <f>IF(A714&lt;=$B$8,$B$6+(A714-1)*($B$7-$B$6)/MAX(1,$B$8-1),NA())</f>
        <v>#N/A</v>
      </c>
      <c r="C714" s="9" t="e">
        <f>RADIANS(B714)</f>
        <v>#N/A</v>
      </c>
      <c r="D714" s="9" t="e">
        <f>($B$3+$B$4)*COS(C714)-$B$4*COS((($B$3+$B$4)/$B$4)*C714)</f>
        <v>#N/A</v>
      </c>
      <c r="E714" s="9" t="e">
        <f>($B$3+$B$4)*SIN(C714)-$B$4*SIN((($B$3+$B$4)/$B$4)*C714)</f>
        <v>#N/A</v>
      </c>
      <c r="F714" s="5"/>
      <c r="G714" s="5"/>
      <c r="H714" s="5"/>
    </row>
    <row r="715" spans="1:8" x14ac:dyDescent="0.3">
      <c r="A715" s="9">
        <f>ROW()-ROW($A$14)</f>
        <v>701</v>
      </c>
      <c r="B715" s="9" t="e">
        <f>IF(A715&lt;=$B$8,$B$6+(A715-1)*($B$7-$B$6)/MAX(1,$B$8-1),NA())</f>
        <v>#N/A</v>
      </c>
      <c r="C715" s="9" t="e">
        <f>RADIANS(B715)</f>
        <v>#N/A</v>
      </c>
      <c r="D715" s="9" t="e">
        <f>($B$3+$B$4)*COS(C715)-$B$4*COS((($B$3+$B$4)/$B$4)*C715)</f>
        <v>#N/A</v>
      </c>
      <c r="E715" s="9" t="e">
        <f>($B$3+$B$4)*SIN(C715)-$B$4*SIN((($B$3+$B$4)/$B$4)*C715)</f>
        <v>#N/A</v>
      </c>
      <c r="F715" s="5"/>
      <c r="G715" s="5"/>
      <c r="H715" s="5"/>
    </row>
    <row r="716" spans="1:8" x14ac:dyDescent="0.3">
      <c r="A716" s="9">
        <f>ROW()-ROW($A$14)</f>
        <v>702</v>
      </c>
      <c r="B716" s="9" t="e">
        <f>IF(A716&lt;=$B$8,$B$6+(A716-1)*($B$7-$B$6)/MAX(1,$B$8-1),NA())</f>
        <v>#N/A</v>
      </c>
      <c r="C716" s="9" t="e">
        <f>RADIANS(B716)</f>
        <v>#N/A</v>
      </c>
      <c r="D716" s="9" t="e">
        <f>($B$3+$B$4)*COS(C716)-$B$4*COS((($B$3+$B$4)/$B$4)*C716)</f>
        <v>#N/A</v>
      </c>
      <c r="E716" s="9" t="e">
        <f>($B$3+$B$4)*SIN(C716)-$B$4*SIN((($B$3+$B$4)/$B$4)*C716)</f>
        <v>#N/A</v>
      </c>
      <c r="F716" s="5"/>
      <c r="G716" s="5"/>
      <c r="H716" s="5"/>
    </row>
    <row r="717" spans="1:8" x14ac:dyDescent="0.3">
      <c r="A717" s="9">
        <f>ROW()-ROW($A$14)</f>
        <v>703</v>
      </c>
      <c r="B717" s="9" t="e">
        <f>IF(A717&lt;=$B$8,$B$6+(A717-1)*($B$7-$B$6)/MAX(1,$B$8-1),NA())</f>
        <v>#N/A</v>
      </c>
      <c r="C717" s="9" t="e">
        <f>RADIANS(B717)</f>
        <v>#N/A</v>
      </c>
      <c r="D717" s="9" t="e">
        <f>($B$3+$B$4)*COS(C717)-$B$4*COS((($B$3+$B$4)/$B$4)*C717)</f>
        <v>#N/A</v>
      </c>
      <c r="E717" s="9" t="e">
        <f>($B$3+$B$4)*SIN(C717)-$B$4*SIN((($B$3+$B$4)/$B$4)*C717)</f>
        <v>#N/A</v>
      </c>
      <c r="F717" s="5"/>
      <c r="G717" s="5"/>
      <c r="H717" s="5"/>
    </row>
    <row r="718" spans="1:8" x14ac:dyDescent="0.3">
      <c r="A718" s="9">
        <f>ROW()-ROW($A$14)</f>
        <v>704</v>
      </c>
      <c r="B718" s="9" t="e">
        <f>IF(A718&lt;=$B$8,$B$6+(A718-1)*($B$7-$B$6)/MAX(1,$B$8-1),NA())</f>
        <v>#N/A</v>
      </c>
      <c r="C718" s="9" t="e">
        <f>RADIANS(B718)</f>
        <v>#N/A</v>
      </c>
      <c r="D718" s="9" t="e">
        <f>($B$3+$B$4)*COS(C718)-$B$4*COS((($B$3+$B$4)/$B$4)*C718)</f>
        <v>#N/A</v>
      </c>
      <c r="E718" s="9" t="e">
        <f>($B$3+$B$4)*SIN(C718)-$B$4*SIN((($B$3+$B$4)/$B$4)*C718)</f>
        <v>#N/A</v>
      </c>
      <c r="F718" s="5"/>
      <c r="G718" s="5"/>
      <c r="H718" s="5"/>
    </row>
    <row r="719" spans="1:8" x14ac:dyDescent="0.3">
      <c r="A719" s="9">
        <f>ROW()-ROW($A$14)</f>
        <v>705</v>
      </c>
      <c r="B719" s="9" t="e">
        <f>IF(A719&lt;=$B$8,$B$6+(A719-1)*($B$7-$B$6)/MAX(1,$B$8-1),NA())</f>
        <v>#N/A</v>
      </c>
      <c r="C719" s="9" t="e">
        <f>RADIANS(B719)</f>
        <v>#N/A</v>
      </c>
      <c r="D719" s="9" t="e">
        <f>($B$3+$B$4)*COS(C719)-$B$4*COS((($B$3+$B$4)/$B$4)*C719)</f>
        <v>#N/A</v>
      </c>
      <c r="E719" s="9" t="e">
        <f>($B$3+$B$4)*SIN(C719)-$B$4*SIN((($B$3+$B$4)/$B$4)*C719)</f>
        <v>#N/A</v>
      </c>
      <c r="F719" s="5"/>
      <c r="G719" s="5"/>
      <c r="H719" s="5"/>
    </row>
    <row r="720" spans="1:8" x14ac:dyDescent="0.3">
      <c r="A720" s="9">
        <f>ROW()-ROW($A$14)</f>
        <v>706</v>
      </c>
      <c r="B720" s="9" t="e">
        <f>IF(A720&lt;=$B$8,$B$6+(A720-1)*($B$7-$B$6)/MAX(1,$B$8-1),NA())</f>
        <v>#N/A</v>
      </c>
      <c r="C720" s="9" t="e">
        <f>RADIANS(B720)</f>
        <v>#N/A</v>
      </c>
      <c r="D720" s="9" t="e">
        <f>($B$3+$B$4)*COS(C720)-$B$4*COS((($B$3+$B$4)/$B$4)*C720)</f>
        <v>#N/A</v>
      </c>
      <c r="E720" s="9" t="e">
        <f>($B$3+$B$4)*SIN(C720)-$B$4*SIN((($B$3+$B$4)/$B$4)*C720)</f>
        <v>#N/A</v>
      </c>
      <c r="F720" s="5"/>
      <c r="G720" s="5"/>
      <c r="H720" s="5"/>
    </row>
    <row r="721" spans="1:8" x14ac:dyDescent="0.3">
      <c r="A721" s="9">
        <f>ROW()-ROW($A$14)</f>
        <v>707</v>
      </c>
      <c r="B721" s="9" t="e">
        <f>IF(A721&lt;=$B$8,$B$6+(A721-1)*($B$7-$B$6)/MAX(1,$B$8-1),NA())</f>
        <v>#N/A</v>
      </c>
      <c r="C721" s="9" t="e">
        <f>RADIANS(B721)</f>
        <v>#N/A</v>
      </c>
      <c r="D721" s="9" t="e">
        <f>($B$3+$B$4)*COS(C721)-$B$4*COS((($B$3+$B$4)/$B$4)*C721)</f>
        <v>#N/A</v>
      </c>
      <c r="E721" s="9" t="e">
        <f>($B$3+$B$4)*SIN(C721)-$B$4*SIN((($B$3+$B$4)/$B$4)*C721)</f>
        <v>#N/A</v>
      </c>
      <c r="F721" s="5"/>
      <c r="G721" s="5"/>
      <c r="H721" s="5"/>
    </row>
    <row r="722" spans="1:8" x14ac:dyDescent="0.3">
      <c r="A722" s="9">
        <f>ROW()-ROW($A$14)</f>
        <v>708</v>
      </c>
      <c r="B722" s="9" t="e">
        <f>IF(A722&lt;=$B$8,$B$6+(A722-1)*($B$7-$B$6)/MAX(1,$B$8-1),NA())</f>
        <v>#N/A</v>
      </c>
      <c r="C722" s="9" t="e">
        <f>RADIANS(B722)</f>
        <v>#N/A</v>
      </c>
      <c r="D722" s="9" t="e">
        <f>($B$3+$B$4)*COS(C722)-$B$4*COS((($B$3+$B$4)/$B$4)*C722)</f>
        <v>#N/A</v>
      </c>
      <c r="E722" s="9" t="e">
        <f>($B$3+$B$4)*SIN(C722)-$B$4*SIN((($B$3+$B$4)/$B$4)*C722)</f>
        <v>#N/A</v>
      </c>
      <c r="F722" s="5"/>
      <c r="G722" s="5"/>
      <c r="H722" s="5"/>
    </row>
    <row r="723" spans="1:8" x14ac:dyDescent="0.3">
      <c r="A723" s="9">
        <f>ROW()-ROW($A$14)</f>
        <v>709</v>
      </c>
      <c r="B723" s="9" t="e">
        <f>IF(A723&lt;=$B$8,$B$6+(A723-1)*($B$7-$B$6)/MAX(1,$B$8-1),NA())</f>
        <v>#N/A</v>
      </c>
      <c r="C723" s="9" t="e">
        <f>RADIANS(B723)</f>
        <v>#N/A</v>
      </c>
      <c r="D723" s="9" t="e">
        <f>($B$3+$B$4)*COS(C723)-$B$4*COS((($B$3+$B$4)/$B$4)*C723)</f>
        <v>#N/A</v>
      </c>
      <c r="E723" s="9" t="e">
        <f>($B$3+$B$4)*SIN(C723)-$B$4*SIN((($B$3+$B$4)/$B$4)*C723)</f>
        <v>#N/A</v>
      </c>
      <c r="F723" s="5"/>
      <c r="G723" s="5"/>
      <c r="H723" s="5"/>
    </row>
    <row r="724" spans="1:8" x14ac:dyDescent="0.3">
      <c r="A724" s="9">
        <f>ROW()-ROW($A$14)</f>
        <v>710</v>
      </c>
      <c r="B724" s="9" t="e">
        <f>IF(A724&lt;=$B$8,$B$6+(A724-1)*($B$7-$B$6)/MAX(1,$B$8-1),NA())</f>
        <v>#N/A</v>
      </c>
      <c r="C724" s="9" t="e">
        <f>RADIANS(B724)</f>
        <v>#N/A</v>
      </c>
      <c r="D724" s="9" t="e">
        <f>($B$3+$B$4)*COS(C724)-$B$4*COS((($B$3+$B$4)/$B$4)*C724)</f>
        <v>#N/A</v>
      </c>
      <c r="E724" s="9" t="e">
        <f>($B$3+$B$4)*SIN(C724)-$B$4*SIN((($B$3+$B$4)/$B$4)*C724)</f>
        <v>#N/A</v>
      </c>
      <c r="F724" s="5"/>
      <c r="G724" s="5"/>
      <c r="H724" s="5"/>
    </row>
    <row r="725" spans="1:8" x14ac:dyDescent="0.3">
      <c r="A725" s="9">
        <f>ROW()-ROW($A$14)</f>
        <v>711</v>
      </c>
      <c r="B725" s="9" t="e">
        <f>IF(A725&lt;=$B$8,$B$6+(A725-1)*($B$7-$B$6)/MAX(1,$B$8-1),NA())</f>
        <v>#N/A</v>
      </c>
      <c r="C725" s="9" t="e">
        <f>RADIANS(B725)</f>
        <v>#N/A</v>
      </c>
      <c r="D725" s="9" t="e">
        <f>($B$3+$B$4)*COS(C725)-$B$4*COS((($B$3+$B$4)/$B$4)*C725)</f>
        <v>#N/A</v>
      </c>
      <c r="E725" s="9" t="e">
        <f>($B$3+$B$4)*SIN(C725)-$B$4*SIN((($B$3+$B$4)/$B$4)*C725)</f>
        <v>#N/A</v>
      </c>
      <c r="F725" s="5"/>
      <c r="G725" s="5"/>
      <c r="H725" s="5"/>
    </row>
    <row r="726" spans="1:8" x14ac:dyDescent="0.3">
      <c r="A726" s="9">
        <f>ROW()-ROW($A$14)</f>
        <v>712</v>
      </c>
      <c r="B726" s="9" t="e">
        <f>IF(A726&lt;=$B$8,$B$6+(A726-1)*($B$7-$B$6)/MAX(1,$B$8-1),NA())</f>
        <v>#N/A</v>
      </c>
      <c r="C726" s="9" t="e">
        <f>RADIANS(B726)</f>
        <v>#N/A</v>
      </c>
      <c r="D726" s="9" t="e">
        <f>($B$3+$B$4)*COS(C726)-$B$4*COS((($B$3+$B$4)/$B$4)*C726)</f>
        <v>#N/A</v>
      </c>
      <c r="E726" s="9" t="e">
        <f>($B$3+$B$4)*SIN(C726)-$B$4*SIN((($B$3+$B$4)/$B$4)*C726)</f>
        <v>#N/A</v>
      </c>
      <c r="F726" s="5"/>
      <c r="G726" s="5"/>
      <c r="H726" s="5"/>
    </row>
    <row r="727" spans="1:8" x14ac:dyDescent="0.3">
      <c r="A727" s="9">
        <f>ROW()-ROW($A$14)</f>
        <v>713</v>
      </c>
      <c r="B727" s="9" t="e">
        <f>IF(A727&lt;=$B$8,$B$6+(A727-1)*($B$7-$B$6)/MAX(1,$B$8-1),NA())</f>
        <v>#N/A</v>
      </c>
      <c r="C727" s="9" t="e">
        <f>RADIANS(B727)</f>
        <v>#N/A</v>
      </c>
      <c r="D727" s="9" t="e">
        <f>($B$3+$B$4)*COS(C727)-$B$4*COS((($B$3+$B$4)/$B$4)*C727)</f>
        <v>#N/A</v>
      </c>
      <c r="E727" s="9" t="e">
        <f>($B$3+$B$4)*SIN(C727)-$B$4*SIN((($B$3+$B$4)/$B$4)*C727)</f>
        <v>#N/A</v>
      </c>
      <c r="F727" s="5"/>
      <c r="G727" s="5"/>
      <c r="H727" s="5"/>
    </row>
    <row r="728" spans="1:8" x14ac:dyDescent="0.3">
      <c r="A728" s="9">
        <f>ROW()-ROW($A$14)</f>
        <v>714</v>
      </c>
      <c r="B728" s="9" t="e">
        <f>IF(A728&lt;=$B$8,$B$6+(A728-1)*($B$7-$B$6)/MAX(1,$B$8-1),NA())</f>
        <v>#N/A</v>
      </c>
      <c r="C728" s="9" t="e">
        <f>RADIANS(B728)</f>
        <v>#N/A</v>
      </c>
      <c r="D728" s="9" t="e">
        <f>($B$3+$B$4)*COS(C728)-$B$4*COS((($B$3+$B$4)/$B$4)*C728)</f>
        <v>#N/A</v>
      </c>
      <c r="E728" s="9" t="e">
        <f>($B$3+$B$4)*SIN(C728)-$B$4*SIN((($B$3+$B$4)/$B$4)*C728)</f>
        <v>#N/A</v>
      </c>
      <c r="F728" s="5"/>
      <c r="G728" s="5"/>
      <c r="H728" s="5"/>
    </row>
    <row r="729" spans="1:8" x14ac:dyDescent="0.3">
      <c r="A729" s="9">
        <f>ROW()-ROW($A$14)</f>
        <v>715</v>
      </c>
      <c r="B729" s="9" t="e">
        <f>IF(A729&lt;=$B$8,$B$6+(A729-1)*($B$7-$B$6)/MAX(1,$B$8-1),NA())</f>
        <v>#N/A</v>
      </c>
      <c r="C729" s="9" t="e">
        <f>RADIANS(B729)</f>
        <v>#N/A</v>
      </c>
      <c r="D729" s="9" t="e">
        <f>($B$3+$B$4)*COS(C729)-$B$4*COS((($B$3+$B$4)/$B$4)*C729)</f>
        <v>#N/A</v>
      </c>
      <c r="E729" s="9" t="e">
        <f>($B$3+$B$4)*SIN(C729)-$B$4*SIN((($B$3+$B$4)/$B$4)*C729)</f>
        <v>#N/A</v>
      </c>
      <c r="F729" s="5"/>
      <c r="G729" s="5"/>
      <c r="H729" s="5"/>
    </row>
    <row r="730" spans="1:8" x14ac:dyDescent="0.3">
      <c r="A730" s="9">
        <f>ROW()-ROW($A$14)</f>
        <v>716</v>
      </c>
      <c r="B730" s="9" t="e">
        <f>IF(A730&lt;=$B$8,$B$6+(A730-1)*($B$7-$B$6)/MAX(1,$B$8-1),NA())</f>
        <v>#N/A</v>
      </c>
      <c r="C730" s="9" t="e">
        <f>RADIANS(B730)</f>
        <v>#N/A</v>
      </c>
      <c r="D730" s="9" t="e">
        <f>($B$3+$B$4)*COS(C730)-$B$4*COS((($B$3+$B$4)/$B$4)*C730)</f>
        <v>#N/A</v>
      </c>
      <c r="E730" s="9" t="e">
        <f>($B$3+$B$4)*SIN(C730)-$B$4*SIN((($B$3+$B$4)/$B$4)*C730)</f>
        <v>#N/A</v>
      </c>
      <c r="F730" s="5"/>
      <c r="G730" s="5"/>
      <c r="H730" s="5"/>
    </row>
    <row r="731" spans="1:8" x14ac:dyDescent="0.3">
      <c r="A731" s="9">
        <f>ROW()-ROW($A$14)</f>
        <v>717</v>
      </c>
      <c r="B731" s="9" t="e">
        <f>IF(A731&lt;=$B$8,$B$6+(A731-1)*($B$7-$B$6)/MAX(1,$B$8-1),NA())</f>
        <v>#N/A</v>
      </c>
      <c r="C731" s="9" t="e">
        <f>RADIANS(B731)</f>
        <v>#N/A</v>
      </c>
      <c r="D731" s="9" t="e">
        <f>($B$3+$B$4)*COS(C731)-$B$4*COS((($B$3+$B$4)/$B$4)*C731)</f>
        <v>#N/A</v>
      </c>
      <c r="E731" s="9" t="e">
        <f>($B$3+$B$4)*SIN(C731)-$B$4*SIN((($B$3+$B$4)/$B$4)*C731)</f>
        <v>#N/A</v>
      </c>
      <c r="F731" s="5"/>
      <c r="G731" s="5"/>
      <c r="H731" s="5"/>
    </row>
    <row r="732" spans="1:8" x14ac:dyDescent="0.3">
      <c r="A732" s="9">
        <f>ROW()-ROW($A$14)</f>
        <v>718</v>
      </c>
      <c r="B732" s="9" t="e">
        <f>IF(A732&lt;=$B$8,$B$6+(A732-1)*($B$7-$B$6)/MAX(1,$B$8-1),NA())</f>
        <v>#N/A</v>
      </c>
      <c r="C732" s="9" t="e">
        <f>RADIANS(B732)</f>
        <v>#N/A</v>
      </c>
      <c r="D732" s="9" t="e">
        <f>($B$3+$B$4)*COS(C732)-$B$4*COS((($B$3+$B$4)/$B$4)*C732)</f>
        <v>#N/A</v>
      </c>
      <c r="E732" s="9" t="e">
        <f>($B$3+$B$4)*SIN(C732)-$B$4*SIN((($B$3+$B$4)/$B$4)*C732)</f>
        <v>#N/A</v>
      </c>
      <c r="F732" s="5"/>
      <c r="G732" s="5"/>
      <c r="H732" s="5"/>
    </row>
    <row r="733" spans="1:8" x14ac:dyDescent="0.3">
      <c r="A733" s="9">
        <f>ROW()-ROW($A$14)</f>
        <v>719</v>
      </c>
      <c r="B733" s="9" t="e">
        <f>IF(A733&lt;=$B$8,$B$6+(A733-1)*($B$7-$B$6)/MAX(1,$B$8-1),NA())</f>
        <v>#N/A</v>
      </c>
      <c r="C733" s="9" t="e">
        <f>RADIANS(B733)</f>
        <v>#N/A</v>
      </c>
      <c r="D733" s="9" t="e">
        <f>($B$3+$B$4)*COS(C733)-$B$4*COS((($B$3+$B$4)/$B$4)*C733)</f>
        <v>#N/A</v>
      </c>
      <c r="E733" s="9" t="e">
        <f>($B$3+$B$4)*SIN(C733)-$B$4*SIN((($B$3+$B$4)/$B$4)*C733)</f>
        <v>#N/A</v>
      </c>
      <c r="F733" s="5"/>
      <c r="G733" s="5"/>
      <c r="H733" s="5"/>
    </row>
    <row r="734" spans="1:8" x14ac:dyDescent="0.3">
      <c r="A734" s="9">
        <f>ROW()-ROW($A$14)</f>
        <v>720</v>
      </c>
      <c r="B734" s="9" t="e">
        <f>IF(A734&lt;=$B$8,$B$6+(A734-1)*($B$7-$B$6)/MAX(1,$B$8-1),NA())</f>
        <v>#N/A</v>
      </c>
      <c r="C734" s="9" t="e">
        <f>RADIANS(B734)</f>
        <v>#N/A</v>
      </c>
      <c r="D734" s="9" t="e">
        <f>($B$3+$B$4)*COS(C734)-$B$4*COS((($B$3+$B$4)/$B$4)*C734)</f>
        <v>#N/A</v>
      </c>
      <c r="E734" s="9" t="e">
        <f>($B$3+$B$4)*SIN(C734)-$B$4*SIN((($B$3+$B$4)/$B$4)*C734)</f>
        <v>#N/A</v>
      </c>
      <c r="F734" s="5"/>
      <c r="G734" s="5"/>
      <c r="H734" s="5"/>
    </row>
    <row r="735" spans="1:8" x14ac:dyDescent="0.3">
      <c r="A735" s="9">
        <f>ROW()-ROW($A$14)</f>
        <v>721</v>
      </c>
      <c r="B735" s="9" t="e">
        <f>IF(A735&lt;=$B$8,$B$6+(A735-1)*($B$7-$B$6)/MAX(1,$B$8-1),NA())</f>
        <v>#N/A</v>
      </c>
      <c r="C735" s="9" t="e">
        <f>RADIANS(B735)</f>
        <v>#N/A</v>
      </c>
      <c r="D735" s="9" t="e">
        <f>($B$3+$B$4)*COS(C735)-$B$4*COS((($B$3+$B$4)/$B$4)*C735)</f>
        <v>#N/A</v>
      </c>
      <c r="E735" s="9" t="e">
        <f>($B$3+$B$4)*SIN(C735)-$B$4*SIN((($B$3+$B$4)/$B$4)*C735)</f>
        <v>#N/A</v>
      </c>
      <c r="F735" s="5"/>
      <c r="G735" s="5"/>
      <c r="H735" s="5"/>
    </row>
    <row r="736" spans="1:8" x14ac:dyDescent="0.3">
      <c r="A736" s="9">
        <f>ROW()-ROW($A$14)</f>
        <v>722</v>
      </c>
      <c r="B736" s="9" t="e">
        <f>IF(A736&lt;=$B$8,$B$6+(A736-1)*($B$7-$B$6)/MAX(1,$B$8-1),NA())</f>
        <v>#N/A</v>
      </c>
      <c r="C736" s="9" t="e">
        <f>RADIANS(B736)</f>
        <v>#N/A</v>
      </c>
      <c r="D736" s="9" t="e">
        <f>($B$3+$B$4)*COS(C736)-$B$4*COS((($B$3+$B$4)/$B$4)*C736)</f>
        <v>#N/A</v>
      </c>
      <c r="E736" s="9" t="e">
        <f>($B$3+$B$4)*SIN(C736)-$B$4*SIN((($B$3+$B$4)/$B$4)*C736)</f>
        <v>#N/A</v>
      </c>
      <c r="F736" s="5"/>
      <c r="G736" s="5"/>
      <c r="H736" s="5"/>
    </row>
    <row r="737" spans="1:8" x14ac:dyDescent="0.3">
      <c r="A737" s="9">
        <f>ROW()-ROW($A$14)</f>
        <v>723</v>
      </c>
      <c r="B737" s="9" t="e">
        <f>IF(A737&lt;=$B$8,$B$6+(A737-1)*($B$7-$B$6)/MAX(1,$B$8-1),NA())</f>
        <v>#N/A</v>
      </c>
      <c r="C737" s="9" t="e">
        <f>RADIANS(B737)</f>
        <v>#N/A</v>
      </c>
      <c r="D737" s="9" t="e">
        <f>($B$3+$B$4)*COS(C737)-$B$4*COS((($B$3+$B$4)/$B$4)*C737)</f>
        <v>#N/A</v>
      </c>
      <c r="E737" s="9" t="e">
        <f>($B$3+$B$4)*SIN(C737)-$B$4*SIN((($B$3+$B$4)/$B$4)*C737)</f>
        <v>#N/A</v>
      </c>
      <c r="F737" s="5"/>
      <c r="G737" s="5"/>
      <c r="H737" s="5"/>
    </row>
    <row r="738" spans="1:8" x14ac:dyDescent="0.3">
      <c r="A738" s="9">
        <f>ROW()-ROW($A$14)</f>
        <v>724</v>
      </c>
      <c r="B738" s="9" t="e">
        <f>IF(A738&lt;=$B$8,$B$6+(A738-1)*($B$7-$B$6)/MAX(1,$B$8-1),NA())</f>
        <v>#N/A</v>
      </c>
      <c r="C738" s="9" t="e">
        <f>RADIANS(B738)</f>
        <v>#N/A</v>
      </c>
      <c r="D738" s="9" t="e">
        <f>($B$3+$B$4)*COS(C738)-$B$4*COS((($B$3+$B$4)/$B$4)*C738)</f>
        <v>#N/A</v>
      </c>
      <c r="E738" s="9" t="e">
        <f>($B$3+$B$4)*SIN(C738)-$B$4*SIN((($B$3+$B$4)/$B$4)*C738)</f>
        <v>#N/A</v>
      </c>
      <c r="F738" s="5"/>
      <c r="G738" s="5"/>
      <c r="H738" s="5"/>
    </row>
    <row r="739" spans="1:8" x14ac:dyDescent="0.3">
      <c r="A739" s="9">
        <f>ROW()-ROW($A$14)</f>
        <v>725</v>
      </c>
      <c r="B739" s="9" t="e">
        <f>IF(A739&lt;=$B$8,$B$6+(A739-1)*($B$7-$B$6)/MAX(1,$B$8-1),NA())</f>
        <v>#N/A</v>
      </c>
      <c r="C739" s="9" t="e">
        <f>RADIANS(B739)</f>
        <v>#N/A</v>
      </c>
      <c r="D739" s="9" t="e">
        <f>($B$3+$B$4)*COS(C739)-$B$4*COS((($B$3+$B$4)/$B$4)*C739)</f>
        <v>#N/A</v>
      </c>
      <c r="E739" s="9" t="e">
        <f>($B$3+$B$4)*SIN(C739)-$B$4*SIN((($B$3+$B$4)/$B$4)*C739)</f>
        <v>#N/A</v>
      </c>
      <c r="F739" s="5"/>
      <c r="G739" s="5"/>
      <c r="H739" s="5"/>
    </row>
    <row r="740" spans="1:8" x14ac:dyDescent="0.3">
      <c r="A740" s="9">
        <f>ROW()-ROW($A$14)</f>
        <v>726</v>
      </c>
      <c r="B740" s="9" t="e">
        <f>IF(A740&lt;=$B$8,$B$6+(A740-1)*($B$7-$B$6)/MAX(1,$B$8-1),NA())</f>
        <v>#N/A</v>
      </c>
      <c r="C740" s="9" t="e">
        <f>RADIANS(B740)</f>
        <v>#N/A</v>
      </c>
      <c r="D740" s="9" t="e">
        <f>($B$3+$B$4)*COS(C740)-$B$4*COS((($B$3+$B$4)/$B$4)*C740)</f>
        <v>#N/A</v>
      </c>
      <c r="E740" s="9" t="e">
        <f>($B$3+$B$4)*SIN(C740)-$B$4*SIN((($B$3+$B$4)/$B$4)*C740)</f>
        <v>#N/A</v>
      </c>
      <c r="F740" s="5"/>
      <c r="G740" s="5"/>
      <c r="H740" s="5"/>
    </row>
    <row r="741" spans="1:8" x14ac:dyDescent="0.3">
      <c r="A741" s="9">
        <f>ROW()-ROW($A$14)</f>
        <v>727</v>
      </c>
      <c r="B741" s="9" t="e">
        <f>IF(A741&lt;=$B$8,$B$6+(A741-1)*($B$7-$B$6)/MAX(1,$B$8-1),NA())</f>
        <v>#N/A</v>
      </c>
      <c r="C741" s="9" t="e">
        <f>RADIANS(B741)</f>
        <v>#N/A</v>
      </c>
      <c r="D741" s="9" t="e">
        <f>($B$3+$B$4)*COS(C741)-$B$4*COS((($B$3+$B$4)/$B$4)*C741)</f>
        <v>#N/A</v>
      </c>
      <c r="E741" s="9" t="e">
        <f>($B$3+$B$4)*SIN(C741)-$B$4*SIN((($B$3+$B$4)/$B$4)*C741)</f>
        <v>#N/A</v>
      </c>
      <c r="F741" s="5"/>
      <c r="G741" s="5"/>
      <c r="H741" s="5"/>
    </row>
    <row r="742" spans="1:8" x14ac:dyDescent="0.3">
      <c r="A742" s="9">
        <f>ROW()-ROW($A$14)</f>
        <v>728</v>
      </c>
      <c r="B742" s="9" t="e">
        <f>IF(A742&lt;=$B$8,$B$6+(A742-1)*($B$7-$B$6)/MAX(1,$B$8-1),NA())</f>
        <v>#N/A</v>
      </c>
      <c r="C742" s="9" t="e">
        <f>RADIANS(B742)</f>
        <v>#N/A</v>
      </c>
      <c r="D742" s="9" t="e">
        <f>($B$3+$B$4)*COS(C742)-$B$4*COS((($B$3+$B$4)/$B$4)*C742)</f>
        <v>#N/A</v>
      </c>
      <c r="E742" s="9" t="e">
        <f>($B$3+$B$4)*SIN(C742)-$B$4*SIN((($B$3+$B$4)/$B$4)*C742)</f>
        <v>#N/A</v>
      </c>
      <c r="F742" s="5"/>
      <c r="G742" s="5"/>
      <c r="H742" s="5"/>
    </row>
    <row r="743" spans="1:8" x14ac:dyDescent="0.3">
      <c r="A743" s="9">
        <f>ROW()-ROW($A$14)</f>
        <v>729</v>
      </c>
      <c r="B743" s="9" t="e">
        <f>IF(A743&lt;=$B$8,$B$6+(A743-1)*($B$7-$B$6)/MAX(1,$B$8-1),NA())</f>
        <v>#N/A</v>
      </c>
      <c r="C743" s="9" t="e">
        <f>RADIANS(B743)</f>
        <v>#N/A</v>
      </c>
      <c r="D743" s="9" t="e">
        <f>($B$3+$B$4)*COS(C743)-$B$4*COS((($B$3+$B$4)/$B$4)*C743)</f>
        <v>#N/A</v>
      </c>
      <c r="E743" s="9" t="e">
        <f>($B$3+$B$4)*SIN(C743)-$B$4*SIN((($B$3+$B$4)/$B$4)*C743)</f>
        <v>#N/A</v>
      </c>
      <c r="F743" s="5"/>
      <c r="G743" s="5"/>
      <c r="H743" s="5"/>
    </row>
    <row r="744" spans="1:8" x14ac:dyDescent="0.3">
      <c r="A744" s="9">
        <f>ROW()-ROW($A$14)</f>
        <v>730</v>
      </c>
      <c r="B744" s="9" t="e">
        <f>IF(A744&lt;=$B$8,$B$6+(A744-1)*($B$7-$B$6)/MAX(1,$B$8-1),NA())</f>
        <v>#N/A</v>
      </c>
      <c r="C744" s="9" t="e">
        <f>RADIANS(B744)</f>
        <v>#N/A</v>
      </c>
      <c r="D744" s="9" t="e">
        <f>($B$3+$B$4)*COS(C744)-$B$4*COS((($B$3+$B$4)/$B$4)*C744)</f>
        <v>#N/A</v>
      </c>
      <c r="E744" s="9" t="e">
        <f>($B$3+$B$4)*SIN(C744)-$B$4*SIN((($B$3+$B$4)/$B$4)*C744)</f>
        <v>#N/A</v>
      </c>
      <c r="F744" s="5"/>
      <c r="G744" s="5"/>
      <c r="H744" s="5"/>
    </row>
    <row r="745" spans="1:8" x14ac:dyDescent="0.3">
      <c r="A745" s="9">
        <f>ROW()-ROW($A$14)</f>
        <v>731</v>
      </c>
      <c r="B745" s="9" t="e">
        <f>IF(A745&lt;=$B$8,$B$6+(A745-1)*($B$7-$B$6)/MAX(1,$B$8-1),NA())</f>
        <v>#N/A</v>
      </c>
      <c r="C745" s="9" t="e">
        <f>RADIANS(B745)</f>
        <v>#N/A</v>
      </c>
      <c r="D745" s="9" t="e">
        <f>($B$3+$B$4)*COS(C745)-$B$4*COS((($B$3+$B$4)/$B$4)*C745)</f>
        <v>#N/A</v>
      </c>
      <c r="E745" s="9" t="e">
        <f>($B$3+$B$4)*SIN(C745)-$B$4*SIN((($B$3+$B$4)/$B$4)*C745)</f>
        <v>#N/A</v>
      </c>
      <c r="F745" s="5"/>
      <c r="G745" s="5"/>
      <c r="H745" s="5"/>
    </row>
    <row r="746" spans="1:8" x14ac:dyDescent="0.3">
      <c r="A746" s="9">
        <f>ROW()-ROW($A$14)</f>
        <v>732</v>
      </c>
      <c r="B746" s="9" t="e">
        <f>IF(A746&lt;=$B$8,$B$6+(A746-1)*($B$7-$B$6)/MAX(1,$B$8-1),NA())</f>
        <v>#N/A</v>
      </c>
      <c r="C746" s="9" t="e">
        <f>RADIANS(B746)</f>
        <v>#N/A</v>
      </c>
      <c r="D746" s="9" t="e">
        <f>($B$3+$B$4)*COS(C746)-$B$4*COS((($B$3+$B$4)/$B$4)*C746)</f>
        <v>#N/A</v>
      </c>
      <c r="E746" s="9" t="e">
        <f>($B$3+$B$4)*SIN(C746)-$B$4*SIN((($B$3+$B$4)/$B$4)*C746)</f>
        <v>#N/A</v>
      </c>
      <c r="F746" s="5"/>
      <c r="G746" s="5"/>
      <c r="H746" s="5"/>
    </row>
    <row r="747" spans="1:8" x14ac:dyDescent="0.3">
      <c r="A747" s="9">
        <f>ROW()-ROW($A$14)</f>
        <v>733</v>
      </c>
      <c r="B747" s="9" t="e">
        <f>IF(A747&lt;=$B$8,$B$6+(A747-1)*($B$7-$B$6)/MAX(1,$B$8-1),NA())</f>
        <v>#N/A</v>
      </c>
      <c r="C747" s="9" t="e">
        <f>RADIANS(B747)</f>
        <v>#N/A</v>
      </c>
      <c r="D747" s="9" t="e">
        <f>($B$3+$B$4)*COS(C747)-$B$4*COS((($B$3+$B$4)/$B$4)*C747)</f>
        <v>#N/A</v>
      </c>
      <c r="E747" s="9" t="e">
        <f>($B$3+$B$4)*SIN(C747)-$B$4*SIN((($B$3+$B$4)/$B$4)*C747)</f>
        <v>#N/A</v>
      </c>
      <c r="F747" s="5"/>
      <c r="G747" s="5"/>
      <c r="H747" s="5"/>
    </row>
    <row r="748" spans="1:8" x14ac:dyDescent="0.3">
      <c r="A748" s="9">
        <f>ROW()-ROW($A$14)</f>
        <v>734</v>
      </c>
      <c r="B748" s="9" t="e">
        <f>IF(A748&lt;=$B$8,$B$6+(A748-1)*($B$7-$B$6)/MAX(1,$B$8-1),NA())</f>
        <v>#N/A</v>
      </c>
      <c r="C748" s="9" t="e">
        <f>RADIANS(B748)</f>
        <v>#N/A</v>
      </c>
      <c r="D748" s="9" t="e">
        <f>($B$3+$B$4)*COS(C748)-$B$4*COS((($B$3+$B$4)/$B$4)*C748)</f>
        <v>#N/A</v>
      </c>
      <c r="E748" s="9" t="e">
        <f>($B$3+$B$4)*SIN(C748)-$B$4*SIN((($B$3+$B$4)/$B$4)*C748)</f>
        <v>#N/A</v>
      </c>
      <c r="F748" s="5"/>
      <c r="G748" s="5"/>
      <c r="H748" s="5"/>
    </row>
    <row r="749" spans="1:8" x14ac:dyDescent="0.3">
      <c r="A749" s="9">
        <f>ROW()-ROW($A$14)</f>
        <v>735</v>
      </c>
      <c r="B749" s="9" t="e">
        <f>IF(A749&lt;=$B$8,$B$6+(A749-1)*($B$7-$B$6)/MAX(1,$B$8-1),NA())</f>
        <v>#N/A</v>
      </c>
      <c r="C749" s="9" t="e">
        <f>RADIANS(B749)</f>
        <v>#N/A</v>
      </c>
      <c r="D749" s="9" t="e">
        <f>($B$3+$B$4)*COS(C749)-$B$4*COS((($B$3+$B$4)/$B$4)*C749)</f>
        <v>#N/A</v>
      </c>
      <c r="E749" s="9" t="e">
        <f>($B$3+$B$4)*SIN(C749)-$B$4*SIN((($B$3+$B$4)/$B$4)*C749)</f>
        <v>#N/A</v>
      </c>
      <c r="F749" s="5"/>
      <c r="G749" s="5"/>
      <c r="H749" s="5"/>
    </row>
    <row r="750" spans="1:8" x14ac:dyDescent="0.3">
      <c r="A750" s="9">
        <f>ROW()-ROW($A$14)</f>
        <v>736</v>
      </c>
      <c r="B750" s="9" t="e">
        <f>IF(A750&lt;=$B$8,$B$6+(A750-1)*($B$7-$B$6)/MAX(1,$B$8-1),NA())</f>
        <v>#N/A</v>
      </c>
      <c r="C750" s="9" t="e">
        <f>RADIANS(B750)</f>
        <v>#N/A</v>
      </c>
      <c r="D750" s="9" t="e">
        <f>($B$3+$B$4)*COS(C750)-$B$4*COS((($B$3+$B$4)/$B$4)*C750)</f>
        <v>#N/A</v>
      </c>
      <c r="E750" s="9" t="e">
        <f>($B$3+$B$4)*SIN(C750)-$B$4*SIN((($B$3+$B$4)/$B$4)*C750)</f>
        <v>#N/A</v>
      </c>
      <c r="F750" s="5"/>
      <c r="G750" s="5"/>
      <c r="H750" s="5"/>
    </row>
    <row r="751" spans="1:8" x14ac:dyDescent="0.3">
      <c r="A751" s="9">
        <f>ROW()-ROW($A$14)</f>
        <v>737</v>
      </c>
      <c r="B751" s="9" t="e">
        <f>IF(A751&lt;=$B$8,$B$6+(A751-1)*($B$7-$B$6)/MAX(1,$B$8-1),NA())</f>
        <v>#N/A</v>
      </c>
      <c r="C751" s="9" t="e">
        <f>RADIANS(B751)</f>
        <v>#N/A</v>
      </c>
      <c r="D751" s="9" t="e">
        <f>($B$3+$B$4)*COS(C751)-$B$4*COS((($B$3+$B$4)/$B$4)*C751)</f>
        <v>#N/A</v>
      </c>
      <c r="E751" s="9" t="e">
        <f>($B$3+$B$4)*SIN(C751)-$B$4*SIN((($B$3+$B$4)/$B$4)*C751)</f>
        <v>#N/A</v>
      </c>
      <c r="F751" s="5"/>
      <c r="G751" s="5"/>
      <c r="H751" s="5"/>
    </row>
    <row r="752" spans="1:8" x14ac:dyDescent="0.3">
      <c r="A752" s="9">
        <f>ROW()-ROW($A$14)</f>
        <v>738</v>
      </c>
      <c r="B752" s="9" t="e">
        <f>IF(A752&lt;=$B$8,$B$6+(A752-1)*($B$7-$B$6)/MAX(1,$B$8-1),NA())</f>
        <v>#N/A</v>
      </c>
      <c r="C752" s="9" t="e">
        <f>RADIANS(B752)</f>
        <v>#N/A</v>
      </c>
      <c r="D752" s="9" t="e">
        <f>($B$3+$B$4)*COS(C752)-$B$4*COS((($B$3+$B$4)/$B$4)*C752)</f>
        <v>#N/A</v>
      </c>
      <c r="E752" s="9" t="e">
        <f>($B$3+$B$4)*SIN(C752)-$B$4*SIN((($B$3+$B$4)/$B$4)*C752)</f>
        <v>#N/A</v>
      </c>
      <c r="F752" s="5"/>
      <c r="G752" s="5"/>
      <c r="H752" s="5"/>
    </row>
    <row r="753" spans="1:8" x14ac:dyDescent="0.3">
      <c r="A753" s="9">
        <f>ROW()-ROW($A$14)</f>
        <v>739</v>
      </c>
      <c r="B753" s="9" t="e">
        <f>IF(A753&lt;=$B$8,$B$6+(A753-1)*($B$7-$B$6)/MAX(1,$B$8-1),NA())</f>
        <v>#N/A</v>
      </c>
      <c r="C753" s="9" t="e">
        <f>RADIANS(B753)</f>
        <v>#N/A</v>
      </c>
      <c r="D753" s="9" t="e">
        <f>($B$3+$B$4)*COS(C753)-$B$4*COS((($B$3+$B$4)/$B$4)*C753)</f>
        <v>#N/A</v>
      </c>
      <c r="E753" s="9" t="e">
        <f>($B$3+$B$4)*SIN(C753)-$B$4*SIN((($B$3+$B$4)/$B$4)*C753)</f>
        <v>#N/A</v>
      </c>
      <c r="F753" s="5"/>
      <c r="G753" s="5"/>
      <c r="H753" s="5"/>
    </row>
    <row r="754" spans="1:8" x14ac:dyDescent="0.3">
      <c r="A754" s="9">
        <f>ROW()-ROW($A$14)</f>
        <v>740</v>
      </c>
      <c r="B754" s="9" t="e">
        <f>IF(A754&lt;=$B$8,$B$6+(A754-1)*($B$7-$B$6)/MAX(1,$B$8-1),NA())</f>
        <v>#N/A</v>
      </c>
      <c r="C754" s="9" t="e">
        <f>RADIANS(B754)</f>
        <v>#N/A</v>
      </c>
      <c r="D754" s="9" t="e">
        <f>($B$3+$B$4)*COS(C754)-$B$4*COS((($B$3+$B$4)/$B$4)*C754)</f>
        <v>#N/A</v>
      </c>
      <c r="E754" s="9" t="e">
        <f>($B$3+$B$4)*SIN(C754)-$B$4*SIN((($B$3+$B$4)/$B$4)*C754)</f>
        <v>#N/A</v>
      </c>
      <c r="F754" s="5"/>
      <c r="G754" s="5"/>
      <c r="H754" s="5"/>
    </row>
    <row r="755" spans="1:8" x14ac:dyDescent="0.3">
      <c r="A755" s="9">
        <f>ROW()-ROW($A$14)</f>
        <v>741</v>
      </c>
      <c r="B755" s="9" t="e">
        <f>IF(A755&lt;=$B$8,$B$6+(A755-1)*($B$7-$B$6)/MAX(1,$B$8-1),NA())</f>
        <v>#N/A</v>
      </c>
      <c r="C755" s="9" t="e">
        <f>RADIANS(B755)</f>
        <v>#N/A</v>
      </c>
      <c r="D755" s="9" t="e">
        <f>($B$3+$B$4)*COS(C755)-$B$4*COS((($B$3+$B$4)/$B$4)*C755)</f>
        <v>#N/A</v>
      </c>
      <c r="E755" s="9" t="e">
        <f>($B$3+$B$4)*SIN(C755)-$B$4*SIN((($B$3+$B$4)/$B$4)*C755)</f>
        <v>#N/A</v>
      </c>
      <c r="F755" s="5"/>
      <c r="G755" s="5"/>
      <c r="H755" s="5"/>
    </row>
    <row r="756" spans="1:8" x14ac:dyDescent="0.3">
      <c r="A756" s="9">
        <f>ROW()-ROW($A$14)</f>
        <v>742</v>
      </c>
      <c r="B756" s="9" t="e">
        <f>IF(A756&lt;=$B$8,$B$6+(A756-1)*($B$7-$B$6)/MAX(1,$B$8-1),NA())</f>
        <v>#N/A</v>
      </c>
      <c r="C756" s="9" t="e">
        <f>RADIANS(B756)</f>
        <v>#N/A</v>
      </c>
      <c r="D756" s="9" t="e">
        <f>($B$3+$B$4)*COS(C756)-$B$4*COS((($B$3+$B$4)/$B$4)*C756)</f>
        <v>#N/A</v>
      </c>
      <c r="E756" s="9" t="e">
        <f>($B$3+$B$4)*SIN(C756)-$B$4*SIN((($B$3+$B$4)/$B$4)*C756)</f>
        <v>#N/A</v>
      </c>
      <c r="F756" s="5"/>
      <c r="G756" s="5"/>
      <c r="H756" s="5"/>
    </row>
    <row r="757" spans="1:8" x14ac:dyDescent="0.3">
      <c r="A757" s="9">
        <f>ROW()-ROW($A$14)</f>
        <v>743</v>
      </c>
      <c r="B757" s="9" t="e">
        <f>IF(A757&lt;=$B$8,$B$6+(A757-1)*($B$7-$B$6)/MAX(1,$B$8-1),NA())</f>
        <v>#N/A</v>
      </c>
      <c r="C757" s="9" t="e">
        <f>RADIANS(B757)</f>
        <v>#N/A</v>
      </c>
      <c r="D757" s="9" t="e">
        <f>($B$3+$B$4)*COS(C757)-$B$4*COS((($B$3+$B$4)/$B$4)*C757)</f>
        <v>#N/A</v>
      </c>
      <c r="E757" s="9" t="e">
        <f>($B$3+$B$4)*SIN(C757)-$B$4*SIN((($B$3+$B$4)/$B$4)*C757)</f>
        <v>#N/A</v>
      </c>
      <c r="F757" s="5"/>
      <c r="G757" s="5"/>
      <c r="H757" s="5"/>
    </row>
    <row r="758" spans="1:8" x14ac:dyDescent="0.3">
      <c r="A758" s="9">
        <f>ROW()-ROW($A$14)</f>
        <v>744</v>
      </c>
      <c r="B758" s="9" t="e">
        <f>IF(A758&lt;=$B$8,$B$6+(A758-1)*($B$7-$B$6)/MAX(1,$B$8-1),NA())</f>
        <v>#N/A</v>
      </c>
      <c r="C758" s="9" t="e">
        <f>RADIANS(B758)</f>
        <v>#N/A</v>
      </c>
      <c r="D758" s="9" t="e">
        <f>($B$3+$B$4)*COS(C758)-$B$4*COS((($B$3+$B$4)/$B$4)*C758)</f>
        <v>#N/A</v>
      </c>
      <c r="E758" s="9" t="e">
        <f>($B$3+$B$4)*SIN(C758)-$B$4*SIN((($B$3+$B$4)/$B$4)*C758)</f>
        <v>#N/A</v>
      </c>
      <c r="F758" s="5"/>
      <c r="G758" s="5"/>
      <c r="H758" s="5"/>
    </row>
    <row r="759" spans="1:8" x14ac:dyDescent="0.3">
      <c r="A759" s="9">
        <f>ROW()-ROW($A$14)</f>
        <v>745</v>
      </c>
      <c r="B759" s="9" t="e">
        <f>IF(A759&lt;=$B$8,$B$6+(A759-1)*($B$7-$B$6)/MAX(1,$B$8-1),NA())</f>
        <v>#N/A</v>
      </c>
      <c r="C759" s="9" t="e">
        <f>RADIANS(B759)</f>
        <v>#N/A</v>
      </c>
      <c r="D759" s="9" t="e">
        <f>($B$3+$B$4)*COS(C759)-$B$4*COS((($B$3+$B$4)/$B$4)*C759)</f>
        <v>#N/A</v>
      </c>
      <c r="E759" s="9" t="e">
        <f>($B$3+$B$4)*SIN(C759)-$B$4*SIN((($B$3+$B$4)/$B$4)*C759)</f>
        <v>#N/A</v>
      </c>
      <c r="F759" s="5"/>
      <c r="G759" s="5"/>
      <c r="H759" s="5"/>
    </row>
    <row r="760" spans="1:8" x14ac:dyDescent="0.3">
      <c r="A760" s="9">
        <f>ROW()-ROW($A$14)</f>
        <v>746</v>
      </c>
      <c r="B760" s="9" t="e">
        <f>IF(A760&lt;=$B$8,$B$6+(A760-1)*($B$7-$B$6)/MAX(1,$B$8-1),NA())</f>
        <v>#N/A</v>
      </c>
      <c r="C760" s="9" t="e">
        <f>RADIANS(B760)</f>
        <v>#N/A</v>
      </c>
      <c r="D760" s="9" t="e">
        <f>($B$3+$B$4)*COS(C760)-$B$4*COS((($B$3+$B$4)/$B$4)*C760)</f>
        <v>#N/A</v>
      </c>
      <c r="E760" s="9" t="e">
        <f>($B$3+$B$4)*SIN(C760)-$B$4*SIN((($B$3+$B$4)/$B$4)*C760)</f>
        <v>#N/A</v>
      </c>
      <c r="F760" s="5"/>
      <c r="G760" s="5"/>
      <c r="H760" s="5"/>
    </row>
    <row r="761" spans="1:8" x14ac:dyDescent="0.3">
      <c r="A761" s="9">
        <f>ROW()-ROW($A$14)</f>
        <v>747</v>
      </c>
      <c r="B761" s="9" t="e">
        <f>IF(A761&lt;=$B$8,$B$6+(A761-1)*($B$7-$B$6)/MAX(1,$B$8-1),NA())</f>
        <v>#N/A</v>
      </c>
      <c r="C761" s="9" t="e">
        <f>RADIANS(B761)</f>
        <v>#N/A</v>
      </c>
      <c r="D761" s="9" t="e">
        <f>($B$3+$B$4)*COS(C761)-$B$4*COS((($B$3+$B$4)/$B$4)*C761)</f>
        <v>#N/A</v>
      </c>
      <c r="E761" s="9" t="e">
        <f>($B$3+$B$4)*SIN(C761)-$B$4*SIN((($B$3+$B$4)/$B$4)*C761)</f>
        <v>#N/A</v>
      </c>
      <c r="F761" s="5"/>
      <c r="G761" s="5"/>
      <c r="H761" s="5"/>
    </row>
    <row r="762" spans="1:8" x14ac:dyDescent="0.3">
      <c r="A762" s="9">
        <f>ROW()-ROW($A$14)</f>
        <v>748</v>
      </c>
      <c r="B762" s="9" t="e">
        <f>IF(A762&lt;=$B$8,$B$6+(A762-1)*($B$7-$B$6)/MAX(1,$B$8-1),NA())</f>
        <v>#N/A</v>
      </c>
      <c r="C762" s="9" t="e">
        <f>RADIANS(B762)</f>
        <v>#N/A</v>
      </c>
      <c r="D762" s="9" t="e">
        <f>($B$3+$B$4)*COS(C762)-$B$4*COS((($B$3+$B$4)/$B$4)*C762)</f>
        <v>#N/A</v>
      </c>
      <c r="E762" s="9" t="e">
        <f>($B$3+$B$4)*SIN(C762)-$B$4*SIN((($B$3+$B$4)/$B$4)*C762)</f>
        <v>#N/A</v>
      </c>
      <c r="F762" s="5"/>
      <c r="G762" s="5"/>
      <c r="H762" s="5"/>
    </row>
    <row r="763" spans="1:8" x14ac:dyDescent="0.3">
      <c r="A763" s="9">
        <f>ROW()-ROW($A$14)</f>
        <v>749</v>
      </c>
      <c r="B763" s="9" t="e">
        <f>IF(A763&lt;=$B$8,$B$6+(A763-1)*($B$7-$B$6)/MAX(1,$B$8-1),NA())</f>
        <v>#N/A</v>
      </c>
      <c r="C763" s="9" t="e">
        <f>RADIANS(B763)</f>
        <v>#N/A</v>
      </c>
      <c r="D763" s="9" t="e">
        <f>($B$3+$B$4)*COS(C763)-$B$4*COS((($B$3+$B$4)/$B$4)*C763)</f>
        <v>#N/A</v>
      </c>
      <c r="E763" s="9" t="e">
        <f>($B$3+$B$4)*SIN(C763)-$B$4*SIN((($B$3+$B$4)/$B$4)*C763)</f>
        <v>#N/A</v>
      </c>
      <c r="F763" s="5"/>
      <c r="G763" s="5"/>
      <c r="H763" s="5"/>
    </row>
    <row r="764" spans="1:8" x14ac:dyDescent="0.3">
      <c r="A764" s="9">
        <f>ROW()-ROW($A$14)</f>
        <v>750</v>
      </c>
      <c r="B764" s="9" t="e">
        <f>IF(A764&lt;=$B$8,$B$6+(A764-1)*($B$7-$B$6)/MAX(1,$B$8-1),NA())</f>
        <v>#N/A</v>
      </c>
      <c r="C764" s="9" t="e">
        <f>RADIANS(B764)</f>
        <v>#N/A</v>
      </c>
      <c r="D764" s="9" t="e">
        <f>($B$3+$B$4)*COS(C764)-$B$4*COS((($B$3+$B$4)/$B$4)*C764)</f>
        <v>#N/A</v>
      </c>
      <c r="E764" s="9" t="e">
        <f>($B$3+$B$4)*SIN(C764)-$B$4*SIN((($B$3+$B$4)/$B$4)*C764)</f>
        <v>#N/A</v>
      </c>
      <c r="F764" s="5"/>
      <c r="G764" s="5"/>
      <c r="H764" s="5"/>
    </row>
    <row r="765" spans="1:8" x14ac:dyDescent="0.3">
      <c r="A765" s="9">
        <f>ROW()-ROW($A$14)</f>
        <v>751</v>
      </c>
      <c r="B765" s="9" t="e">
        <f>IF(A765&lt;=$B$8,$B$6+(A765-1)*($B$7-$B$6)/MAX(1,$B$8-1),NA())</f>
        <v>#N/A</v>
      </c>
      <c r="C765" s="9" t="e">
        <f>RADIANS(B765)</f>
        <v>#N/A</v>
      </c>
      <c r="D765" s="9" t="e">
        <f>($B$3+$B$4)*COS(C765)-$B$4*COS((($B$3+$B$4)/$B$4)*C765)</f>
        <v>#N/A</v>
      </c>
      <c r="E765" s="9" t="e">
        <f>($B$3+$B$4)*SIN(C765)-$B$4*SIN((($B$3+$B$4)/$B$4)*C765)</f>
        <v>#N/A</v>
      </c>
      <c r="F765" s="5"/>
      <c r="G765" s="5"/>
      <c r="H765" s="5"/>
    </row>
    <row r="766" spans="1:8" x14ac:dyDescent="0.3">
      <c r="A766" s="9">
        <f>ROW()-ROW($A$14)</f>
        <v>752</v>
      </c>
      <c r="B766" s="9" t="e">
        <f>IF(A766&lt;=$B$8,$B$6+(A766-1)*($B$7-$B$6)/MAX(1,$B$8-1),NA())</f>
        <v>#N/A</v>
      </c>
      <c r="C766" s="9" t="e">
        <f>RADIANS(B766)</f>
        <v>#N/A</v>
      </c>
      <c r="D766" s="9" t="e">
        <f>($B$3+$B$4)*COS(C766)-$B$4*COS((($B$3+$B$4)/$B$4)*C766)</f>
        <v>#N/A</v>
      </c>
      <c r="E766" s="9" t="e">
        <f>($B$3+$B$4)*SIN(C766)-$B$4*SIN((($B$3+$B$4)/$B$4)*C766)</f>
        <v>#N/A</v>
      </c>
      <c r="F766" s="5"/>
      <c r="G766" s="5"/>
      <c r="H766" s="5"/>
    </row>
    <row r="767" spans="1:8" x14ac:dyDescent="0.3">
      <c r="A767" s="9">
        <f>ROW()-ROW($A$14)</f>
        <v>753</v>
      </c>
      <c r="B767" s="9" t="e">
        <f>IF(A767&lt;=$B$8,$B$6+(A767-1)*($B$7-$B$6)/MAX(1,$B$8-1),NA())</f>
        <v>#N/A</v>
      </c>
      <c r="C767" s="9" t="e">
        <f>RADIANS(B767)</f>
        <v>#N/A</v>
      </c>
      <c r="D767" s="9" t="e">
        <f>($B$3+$B$4)*COS(C767)-$B$4*COS((($B$3+$B$4)/$B$4)*C767)</f>
        <v>#N/A</v>
      </c>
      <c r="E767" s="9" t="e">
        <f>($B$3+$B$4)*SIN(C767)-$B$4*SIN((($B$3+$B$4)/$B$4)*C767)</f>
        <v>#N/A</v>
      </c>
      <c r="F767" s="5"/>
      <c r="G767" s="5"/>
      <c r="H767" s="5"/>
    </row>
    <row r="768" spans="1:8" x14ac:dyDescent="0.3">
      <c r="A768" s="9">
        <f>ROW()-ROW($A$14)</f>
        <v>754</v>
      </c>
      <c r="B768" s="9" t="e">
        <f>IF(A768&lt;=$B$8,$B$6+(A768-1)*($B$7-$B$6)/MAX(1,$B$8-1),NA())</f>
        <v>#N/A</v>
      </c>
      <c r="C768" s="9" t="e">
        <f>RADIANS(B768)</f>
        <v>#N/A</v>
      </c>
      <c r="D768" s="9" t="e">
        <f>($B$3+$B$4)*COS(C768)-$B$4*COS((($B$3+$B$4)/$B$4)*C768)</f>
        <v>#N/A</v>
      </c>
      <c r="E768" s="9" t="e">
        <f>($B$3+$B$4)*SIN(C768)-$B$4*SIN((($B$3+$B$4)/$B$4)*C768)</f>
        <v>#N/A</v>
      </c>
      <c r="F768" s="5"/>
      <c r="G768" s="5"/>
      <c r="H768" s="5"/>
    </row>
    <row r="769" spans="1:8" x14ac:dyDescent="0.3">
      <c r="A769" s="9">
        <f>ROW()-ROW($A$14)</f>
        <v>755</v>
      </c>
      <c r="B769" s="9" t="e">
        <f>IF(A769&lt;=$B$8,$B$6+(A769-1)*($B$7-$B$6)/MAX(1,$B$8-1),NA())</f>
        <v>#N/A</v>
      </c>
      <c r="C769" s="9" t="e">
        <f>RADIANS(B769)</f>
        <v>#N/A</v>
      </c>
      <c r="D769" s="9" t="e">
        <f>($B$3+$B$4)*COS(C769)-$B$4*COS((($B$3+$B$4)/$B$4)*C769)</f>
        <v>#N/A</v>
      </c>
      <c r="E769" s="9" t="e">
        <f>($B$3+$B$4)*SIN(C769)-$B$4*SIN((($B$3+$B$4)/$B$4)*C769)</f>
        <v>#N/A</v>
      </c>
      <c r="F769" s="5"/>
      <c r="G769" s="5"/>
      <c r="H769" s="5"/>
    </row>
    <row r="770" spans="1:8" x14ac:dyDescent="0.3">
      <c r="A770" s="9">
        <f>ROW()-ROW($A$14)</f>
        <v>756</v>
      </c>
      <c r="B770" s="9" t="e">
        <f>IF(A770&lt;=$B$8,$B$6+(A770-1)*($B$7-$B$6)/MAX(1,$B$8-1),NA())</f>
        <v>#N/A</v>
      </c>
      <c r="C770" s="9" t="e">
        <f>RADIANS(B770)</f>
        <v>#N/A</v>
      </c>
      <c r="D770" s="9" t="e">
        <f>($B$3+$B$4)*COS(C770)-$B$4*COS((($B$3+$B$4)/$B$4)*C770)</f>
        <v>#N/A</v>
      </c>
      <c r="E770" s="9" t="e">
        <f>($B$3+$B$4)*SIN(C770)-$B$4*SIN((($B$3+$B$4)/$B$4)*C770)</f>
        <v>#N/A</v>
      </c>
      <c r="F770" s="5"/>
      <c r="G770" s="5"/>
      <c r="H770" s="5"/>
    </row>
    <row r="771" spans="1:8" x14ac:dyDescent="0.3">
      <c r="A771" s="9">
        <f>ROW()-ROW($A$14)</f>
        <v>757</v>
      </c>
      <c r="B771" s="9" t="e">
        <f>IF(A771&lt;=$B$8,$B$6+(A771-1)*($B$7-$B$6)/MAX(1,$B$8-1),NA())</f>
        <v>#N/A</v>
      </c>
      <c r="C771" s="9" t="e">
        <f>RADIANS(B771)</f>
        <v>#N/A</v>
      </c>
      <c r="D771" s="9" t="e">
        <f>($B$3+$B$4)*COS(C771)-$B$4*COS((($B$3+$B$4)/$B$4)*C771)</f>
        <v>#N/A</v>
      </c>
      <c r="E771" s="9" t="e">
        <f>($B$3+$B$4)*SIN(C771)-$B$4*SIN((($B$3+$B$4)/$B$4)*C771)</f>
        <v>#N/A</v>
      </c>
      <c r="F771" s="5"/>
      <c r="G771" s="5"/>
      <c r="H771" s="5"/>
    </row>
    <row r="772" spans="1:8" x14ac:dyDescent="0.3">
      <c r="A772" s="9">
        <f>ROW()-ROW($A$14)</f>
        <v>758</v>
      </c>
      <c r="B772" s="9" t="e">
        <f>IF(A772&lt;=$B$8,$B$6+(A772-1)*($B$7-$B$6)/MAX(1,$B$8-1),NA())</f>
        <v>#N/A</v>
      </c>
      <c r="C772" s="9" t="e">
        <f>RADIANS(B772)</f>
        <v>#N/A</v>
      </c>
      <c r="D772" s="9" t="e">
        <f>($B$3+$B$4)*COS(C772)-$B$4*COS((($B$3+$B$4)/$B$4)*C772)</f>
        <v>#N/A</v>
      </c>
      <c r="E772" s="9" t="e">
        <f>($B$3+$B$4)*SIN(C772)-$B$4*SIN((($B$3+$B$4)/$B$4)*C772)</f>
        <v>#N/A</v>
      </c>
      <c r="F772" s="5"/>
      <c r="G772" s="5"/>
      <c r="H772" s="5"/>
    </row>
    <row r="773" spans="1:8" x14ac:dyDescent="0.3">
      <c r="A773" s="9">
        <f>ROW()-ROW($A$14)</f>
        <v>759</v>
      </c>
      <c r="B773" s="9" t="e">
        <f>IF(A773&lt;=$B$8,$B$6+(A773-1)*($B$7-$B$6)/MAX(1,$B$8-1),NA())</f>
        <v>#N/A</v>
      </c>
      <c r="C773" s="9" t="e">
        <f>RADIANS(B773)</f>
        <v>#N/A</v>
      </c>
      <c r="D773" s="9" t="e">
        <f>($B$3+$B$4)*COS(C773)-$B$4*COS((($B$3+$B$4)/$B$4)*C773)</f>
        <v>#N/A</v>
      </c>
      <c r="E773" s="9" t="e">
        <f>($B$3+$B$4)*SIN(C773)-$B$4*SIN((($B$3+$B$4)/$B$4)*C773)</f>
        <v>#N/A</v>
      </c>
      <c r="F773" s="5"/>
      <c r="G773" s="5"/>
      <c r="H773" s="5"/>
    </row>
    <row r="774" spans="1:8" x14ac:dyDescent="0.3">
      <c r="A774" s="9">
        <f>ROW()-ROW($A$14)</f>
        <v>760</v>
      </c>
      <c r="B774" s="9" t="e">
        <f>IF(A774&lt;=$B$8,$B$6+(A774-1)*($B$7-$B$6)/MAX(1,$B$8-1),NA())</f>
        <v>#N/A</v>
      </c>
      <c r="C774" s="9" t="e">
        <f>RADIANS(B774)</f>
        <v>#N/A</v>
      </c>
      <c r="D774" s="9" t="e">
        <f>($B$3+$B$4)*COS(C774)-$B$4*COS((($B$3+$B$4)/$B$4)*C774)</f>
        <v>#N/A</v>
      </c>
      <c r="E774" s="9" t="e">
        <f>($B$3+$B$4)*SIN(C774)-$B$4*SIN((($B$3+$B$4)/$B$4)*C774)</f>
        <v>#N/A</v>
      </c>
      <c r="F774" s="5"/>
      <c r="G774" s="5"/>
      <c r="H774" s="5"/>
    </row>
    <row r="775" spans="1:8" x14ac:dyDescent="0.3">
      <c r="A775" s="9">
        <f>ROW()-ROW($A$14)</f>
        <v>761</v>
      </c>
      <c r="B775" s="9" t="e">
        <f>IF(A775&lt;=$B$8,$B$6+(A775-1)*($B$7-$B$6)/MAX(1,$B$8-1),NA())</f>
        <v>#N/A</v>
      </c>
      <c r="C775" s="9" t="e">
        <f>RADIANS(B775)</f>
        <v>#N/A</v>
      </c>
      <c r="D775" s="9" t="e">
        <f>($B$3+$B$4)*COS(C775)-$B$4*COS((($B$3+$B$4)/$B$4)*C775)</f>
        <v>#N/A</v>
      </c>
      <c r="E775" s="9" t="e">
        <f>($B$3+$B$4)*SIN(C775)-$B$4*SIN((($B$3+$B$4)/$B$4)*C775)</f>
        <v>#N/A</v>
      </c>
      <c r="F775" s="5"/>
      <c r="G775" s="5"/>
      <c r="H775" s="5"/>
    </row>
    <row r="776" spans="1:8" x14ac:dyDescent="0.3">
      <c r="A776" s="9">
        <f>ROW()-ROW($A$14)</f>
        <v>762</v>
      </c>
      <c r="B776" s="9" t="e">
        <f>IF(A776&lt;=$B$8,$B$6+(A776-1)*($B$7-$B$6)/MAX(1,$B$8-1),NA())</f>
        <v>#N/A</v>
      </c>
      <c r="C776" s="9" t="e">
        <f>RADIANS(B776)</f>
        <v>#N/A</v>
      </c>
      <c r="D776" s="9" t="e">
        <f>($B$3+$B$4)*COS(C776)-$B$4*COS((($B$3+$B$4)/$B$4)*C776)</f>
        <v>#N/A</v>
      </c>
      <c r="E776" s="9" t="e">
        <f>($B$3+$B$4)*SIN(C776)-$B$4*SIN((($B$3+$B$4)/$B$4)*C776)</f>
        <v>#N/A</v>
      </c>
      <c r="F776" s="5"/>
      <c r="G776" s="5"/>
      <c r="H776" s="5"/>
    </row>
    <row r="777" spans="1:8" x14ac:dyDescent="0.3">
      <c r="A777" s="9">
        <f>ROW()-ROW($A$14)</f>
        <v>763</v>
      </c>
      <c r="B777" s="9" t="e">
        <f>IF(A777&lt;=$B$8,$B$6+(A777-1)*($B$7-$B$6)/MAX(1,$B$8-1),NA())</f>
        <v>#N/A</v>
      </c>
      <c r="C777" s="9" t="e">
        <f>RADIANS(B777)</f>
        <v>#N/A</v>
      </c>
      <c r="D777" s="9" t="e">
        <f>($B$3+$B$4)*COS(C777)-$B$4*COS((($B$3+$B$4)/$B$4)*C777)</f>
        <v>#N/A</v>
      </c>
      <c r="E777" s="9" t="e">
        <f>($B$3+$B$4)*SIN(C777)-$B$4*SIN((($B$3+$B$4)/$B$4)*C777)</f>
        <v>#N/A</v>
      </c>
      <c r="F777" s="5"/>
      <c r="G777" s="5"/>
      <c r="H777" s="5"/>
    </row>
    <row r="778" spans="1:8" x14ac:dyDescent="0.3">
      <c r="A778" s="9">
        <f>ROW()-ROW($A$14)</f>
        <v>764</v>
      </c>
      <c r="B778" s="9" t="e">
        <f>IF(A778&lt;=$B$8,$B$6+(A778-1)*($B$7-$B$6)/MAX(1,$B$8-1),NA())</f>
        <v>#N/A</v>
      </c>
      <c r="C778" s="9" t="e">
        <f>RADIANS(B778)</f>
        <v>#N/A</v>
      </c>
      <c r="D778" s="9" t="e">
        <f>($B$3+$B$4)*COS(C778)-$B$4*COS((($B$3+$B$4)/$B$4)*C778)</f>
        <v>#N/A</v>
      </c>
      <c r="E778" s="9" t="e">
        <f>($B$3+$B$4)*SIN(C778)-$B$4*SIN((($B$3+$B$4)/$B$4)*C778)</f>
        <v>#N/A</v>
      </c>
      <c r="F778" s="5"/>
      <c r="G778" s="5"/>
      <c r="H778" s="5"/>
    </row>
    <row r="779" spans="1:8" x14ac:dyDescent="0.3">
      <c r="A779" s="9">
        <f>ROW()-ROW($A$14)</f>
        <v>765</v>
      </c>
      <c r="B779" s="9" t="e">
        <f>IF(A779&lt;=$B$8,$B$6+(A779-1)*($B$7-$B$6)/MAX(1,$B$8-1),NA())</f>
        <v>#N/A</v>
      </c>
      <c r="C779" s="9" t="e">
        <f>RADIANS(B779)</f>
        <v>#N/A</v>
      </c>
      <c r="D779" s="9" t="e">
        <f>($B$3+$B$4)*COS(C779)-$B$4*COS((($B$3+$B$4)/$B$4)*C779)</f>
        <v>#N/A</v>
      </c>
      <c r="E779" s="9" t="e">
        <f>($B$3+$B$4)*SIN(C779)-$B$4*SIN((($B$3+$B$4)/$B$4)*C779)</f>
        <v>#N/A</v>
      </c>
      <c r="F779" s="5"/>
      <c r="G779" s="5"/>
      <c r="H779" s="5"/>
    </row>
    <row r="780" spans="1:8" x14ac:dyDescent="0.3">
      <c r="A780" s="9">
        <f>ROW()-ROW($A$14)</f>
        <v>766</v>
      </c>
      <c r="B780" s="9" t="e">
        <f>IF(A780&lt;=$B$8,$B$6+(A780-1)*($B$7-$B$6)/MAX(1,$B$8-1),NA())</f>
        <v>#N/A</v>
      </c>
      <c r="C780" s="9" t="e">
        <f>RADIANS(B780)</f>
        <v>#N/A</v>
      </c>
      <c r="D780" s="9" t="e">
        <f>($B$3+$B$4)*COS(C780)-$B$4*COS((($B$3+$B$4)/$B$4)*C780)</f>
        <v>#N/A</v>
      </c>
      <c r="E780" s="9" t="e">
        <f>($B$3+$B$4)*SIN(C780)-$B$4*SIN((($B$3+$B$4)/$B$4)*C780)</f>
        <v>#N/A</v>
      </c>
      <c r="F780" s="5"/>
      <c r="G780" s="5"/>
      <c r="H780" s="5"/>
    </row>
    <row r="781" spans="1:8" x14ac:dyDescent="0.3">
      <c r="A781" s="9">
        <f>ROW()-ROW($A$14)</f>
        <v>767</v>
      </c>
      <c r="B781" s="9" t="e">
        <f>IF(A781&lt;=$B$8,$B$6+(A781-1)*($B$7-$B$6)/MAX(1,$B$8-1),NA())</f>
        <v>#N/A</v>
      </c>
      <c r="C781" s="9" t="e">
        <f>RADIANS(B781)</f>
        <v>#N/A</v>
      </c>
      <c r="D781" s="9" t="e">
        <f>($B$3+$B$4)*COS(C781)-$B$4*COS((($B$3+$B$4)/$B$4)*C781)</f>
        <v>#N/A</v>
      </c>
      <c r="E781" s="9" t="e">
        <f>($B$3+$B$4)*SIN(C781)-$B$4*SIN((($B$3+$B$4)/$B$4)*C781)</f>
        <v>#N/A</v>
      </c>
      <c r="F781" s="5"/>
      <c r="G781" s="5"/>
      <c r="H781" s="5"/>
    </row>
    <row r="782" spans="1:8" x14ac:dyDescent="0.3">
      <c r="A782" s="9">
        <f>ROW()-ROW($A$14)</f>
        <v>768</v>
      </c>
      <c r="B782" s="9" t="e">
        <f>IF(A782&lt;=$B$8,$B$6+(A782-1)*($B$7-$B$6)/MAX(1,$B$8-1),NA())</f>
        <v>#N/A</v>
      </c>
      <c r="C782" s="9" t="e">
        <f>RADIANS(B782)</f>
        <v>#N/A</v>
      </c>
      <c r="D782" s="9" t="e">
        <f>($B$3+$B$4)*COS(C782)-$B$4*COS((($B$3+$B$4)/$B$4)*C782)</f>
        <v>#N/A</v>
      </c>
      <c r="E782" s="9" t="e">
        <f>($B$3+$B$4)*SIN(C782)-$B$4*SIN((($B$3+$B$4)/$B$4)*C782)</f>
        <v>#N/A</v>
      </c>
      <c r="F782" s="5"/>
      <c r="G782" s="5"/>
      <c r="H782" s="5"/>
    </row>
    <row r="783" spans="1:8" x14ac:dyDescent="0.3">
      <c r="A783" s="9">
        <f>ROW()-ROW($A$14)</f>
        <v>769</v>
      </c>
      <c r="B783" s="9" t="e">
        <f>IF(A783&lt;=$B$8,$B$6+(A783-1)*($B$7-$B$6)/MAX(1,$B$8-1),NA())</f>
        <v>#N/A</v>
      </c>
      <c r="C783" s="9" t="e">
        <f>RADIANS(B783)</f>
        <v>#N/A</v>
      </c>
      <c r="D783" s="9" t="e">
        <f>($B$3+$B$4)*COS(C783)-$B$4*COS((($B$3+$B$4)/$B$4)*C783)</f>
        <v>#N/A</v>
      </c>
      <c r="E783" s="9" t="e">
        <f>($B$3+$B$4)*SIN(C783)-$B$4*SIN((($B$3+$B$4)/$B$4)*C783)</f>
        <v>#N/A</v>
      </c>
      <c r="F783" s="5"/>
      <c r="G783" s="5"/>
      <c r="H783" s="5"/>
    </row>
    <row r="784" spans="1:8" x14ac:dyDescent="0.3">
      <c r="A784" s="9">
        <f>ROW()-ROW($A$14)</f>
        <v>770</v>
      </c>
      <c r="B784" s="9" t="e">
        <f>IF(A784&lt;=$B$8,$B$6+(A784-1)*($B$7-$B$6)/MAX(1,$B$8-1),NA())</f>
        <v>#N/A</v>
      </c>
      <c r="C784" s="9" t="e">
        <f>RADIANS(B784)</f>
        <v>#N/A</v>
      </c>
      <c r="D784" s="9" t="e">
        <f>($B$3+$B$4)*COS(C784)-$B$4*COS((($B$3+$B$4)/$B$4)*C784)</f>
        <v>#N/A</v>
      </c>
      <c r="E784" s="9" t="e">
        <f>($B$3+$B$4)*SIN(C784)-$B$4*SIN((($B$3+$B$4)/$B$4)*C784)</f>
        <v>#N/A</v>
      </c>
      <c r="F784" s="5"/>
      <c r="G784" s="5"/>
      <c r="H784" s="5"/>
    </row>
    <row r="785" spans="1:8" x14ac:dyDescent="0.3">
      <c r="A785" s="9">
        <f>ROW()-ROW($A$14)</f>
        <v>771</v>
      </c>
      <c r="B785" s="9" t="e">
        <f>IF(A785&lt;=$B$8,$B$6+(A785-1)*($B$7-$B$6)/MAX(1,$B$8-1),NA())</f>
        <v>#N/A</v>
      </c>
      <c r="C785" s="9" t="e">
        <f>RADIANS(B785)</f>
        <v>#N/A</v>
      </c>
      <c r="D785" s="9" t="e">
        <f>($B$3+$B$4)*COS(C785)-$B$4*COS((($B$3+$B$4)/$B$4)*C785)</f>
        <v>#N/A</v>
      </c>
      <c r="E785" s="9" t="e">
        <f>($B$3+$B$4)*SIN(C785)-$B$4*SIN((($B$3+$B$4)/$B$4)*C785)</f>
        <v>#N/A</v>
      </c>
      <c r="F785" s="5"/>
      <c r="G785" s="5"/>
      <c r="H785" s="5"/>
    </row>
    <row r="786" spans="1:8" x14ac:dyDescent="0.3">
      <c r="A786" s="9">
        <f>ROW()-ROW($A$14)</f>
        <v>772</v>
      </c>
      <c r="B786" s="9" t="e">
        <f>IF(A786&lt;=$B$8,$B$6+(A786-1)*($B$7-$B$6)/MAX(1,$B$8-1),NA())</f>
        <v>#N/A</v>
      </c>
      <c r="C786" s="9" t="e">
        <f>RADIANS(B786)</f>
        <v>#N/A</v>
      </c>
      <c r="D786" s="9" t="e">
        <f>($B$3+$B$4)*COS(C786)-$B$4*COS((($B$3+$B$4)/$B$4)*C786)</f>
        <v>#N/A</v>
      </c>
      <c r="E786" s="9" t="e">
        <f>($B$3+$B$4)*SIN(C786)-$B$4*SIN((($B$3+$B$4)/$B$4)*C786)</f>
        <v>#N/A</v>
      </c>
      <c r="F786" s="5"/>
      <c r="G786" s="5"/>
      <c r="H786" s="5"/>
    </row>
    <row r="787" spans="1:8" x14ac:dyDescent="0.3">
      <c r="A787" s="9">
        <f>ROW()-ROW($A$14)</f>
        <v>773</v>
      </c>
      <c r="B787" s="9" t="e">
        <f>IF(A787&lt;=$B$8,$B$6+(A787-1)*($B$7-$B$6)/MAX(1,$B$8-1),NA())</f>
        <v>#N/A</v>
      </c>
      <c r="C787" s="9" t="e">
        <f>RADIANS(B787)</f>
        <v>#N/A</v>
      </c>
      <c r="D787" s="9" t="e">
        <f>($B$3+$B$4)*COS(C787)-$B$4*COS((($B$3+$B$4)/$B$4)*C787)</f>
        <v>#N/A</v>
      </c>
      <c r="E787" s="9" t="e">
        <f>($B$3+$B$4)*SIN(C787)-$B$4*SIN((($B$3+$B$4)/$B$4)*C787)</f>
        <v>#N/A</v>
      </c>
      <c r="F787" s="5"/>
      <c r="G787" s="5"/>
      <c r="H787" s="5"/>
    </row>
    <row r="788" spans="1:8" x14ac:dyDescent="0.3">
      <c r="A788" s="9">
        <f>ROW()-ROW($A$14)</f>
        <v>774</v>
      </c>
      <c r="B788" s="9" t="e">
        <f>IF(A788&lt;=$B$8,$B$6+(A788-1)*($B$7-$B$6)/MAX(1,$B$8-1),NA())</f>
        <v>#N/A</v>
      </c>
      <c r="C788" s="9" t="e">
        <f>RADIANS(B788)</f>
        <v>#N/A</v>
      </c>
      <c r="D788" s="9" t="e">
        <f>($B$3+$B$4)*COS(C788)-$B$4*COS((($B$3+$B$4)/$B$4)*C788)</f>
        <v>#N/A</v>
      </c>
      <c r="E788" s="9" t="e">
        <f>($B$3+$B$4)*SIN(C788)-$B$4*SIN((($B$3+$B$4)/$B$4)*C788)</f>
        <v>#N/A</v>
      </c>
      <c r="F788" s="5"/>
      <c r="G788" s="5"/>
      <c r="H788" s="5"/>
    </row>
    <row r="789" spans="1:8" x14ac:dyDescent="0.3">
      <c r="A789" s="9">
        <f>ROW()-ROW($A$14)</f>
        <v>775</v>
      </c>
      <c r="B789" s="9" t="e">
        <f>IF(A789&lt;=$B$8,$B$6+(A789-1)*($B$7-$B$6)/MAX(1,$B$8-1),NA())</f>
        <v>#N/A</v>
      </c>
      <c r="C789" s="9" t="e">
        <f>RADIANS(B789)</f>
        <v>#N/A</v>
      </c>
      <c r="D789" s="9" t="e">
        <f>($B$3+$B$4)*COS(C789)-$B$4*COS((($B$3+$B$4)/$B$4)*C789)</f>
        <v>#N/A</v>
      </c>
      <c r="E789" s="9" t="e">
        <f>($B$3+$B$4)*SIN(C789)-$B$4*SIN((($B$3+$B$4)/$B$4)*C789)</f>
        <v>#N/A</v>
      </c>
      <c r="F789" s="5"/>
      <c r="G789" s="5"/>
      <c r="H789" s="5"/>
    </row>
    <row r="790" spans="1:8" x14ac:dyDescent="0.3">
      <c r="A790" s="9">
        <f>ROW()-ROW($A$14)</f>
        <v>776</v>
      </c>
      <c r="B790" s="9" t="e">
        <f>IF(A790&lt;=$B$8,$B$6+(A790-1)*($B$7-$B$6)/MAX(1,$B$8-1),NA())</f>
        <v>#N/A</v>
      </c>
      <c r="C790" s="9" t="e">
        <f>RADIANS(B790)</f>
        <v>#N/A</v>
      </c>
      <c r="D790" s="9" t="e">
        <f>($B$3+$B$4)*COS(C790)-$B$4*COS((($B$3+$B$4)/$B$4)*C790)</f>
        <v>#N/A</v>
      </c>
      <c r="E790" s="9" t="e">
        <f>($B$3+$B$4)*SIN(C790)-$B$4*SIN((($B$3+$B$4)/$B$4)*C790)</f>
        <v>#N/A</v>
      </c>
      <c r="F790" s="5"/>
      <c r="G790" s="5"/>
      <c r="H790" s="5"/>
    </row>
    <row r="791" spans="1:8" x14ac:dyDescent="0.3">
      <c r="A791" s="9">
        <f>ROW()-ROW($A$14)</f>
        <v>777</v>
      </c>
      <c r="B791" s="9" t="e">
        <f>IF(A791&lt;=$B$8,$B$6+(A791-1)*($B$7-$B$6)/MAX(1,$B$8-1),NA())</f>
        <v>#N/A</v>
      </c>
      <c r="C791" s="9" t="e">
        <f>RADIANS(B791)</f>
        <v>#N/A</v>
      </c>
      <c r="D791" s="9" t="e">
        <f>($B$3+$B$4)*COS(C791)-$B$4*COS((($B$3+$B$4)/$B$4)*C791)</f>
        <v>#N/A</v>
      </c>
      <c r="E791" s="9" t="e">
        <f>($B$3+$B$4)*SIN(C791)-$B$4*SIN((($B$3+$B$4)/$B$4)*C791)</f>
        <v>#N/A</v>
      </c>
      <c r="F791" s="5"/>
      <c r="G791" s="5"/>
      <c r="H791" s="5"/>
    </row>
    <row r="792" spans="1:8" x14ac:dyDescent="0.3">
      <c r="A792" s="9">
        <f>ROW()-ROW($A$14)</f>
        <v>778</v>
      </c>
      <c r="B792" s="9" t="e">
        <f>IF(A792&lt;=$B$8,$B$6+(A792-1)*($B$7-$B$6)/MAX(1,$B$8-1),NA())</f>
        <v>#N/A</v>
      </c>
      <c r="C792" s="9" t="e">
        <f>RADIANS(B792)</f>
        <v>#N/A</v>
      </c>
      <c r="D792" s="9" t="e">
        <f>($B$3+$B$4)*COS(C792)-$B$4*COS((($B$3+$B$4)/$B$4)*C792)</f>
        <v>#N/A</v>
      </c>
      <c r="E792" s="9" t="e">
        <f>($B$3+$B$4)*SIN(C792)-$B$4*SIN((($B$3+$B$4)/$B$4)*C792)</f>
        <v>#N/A</v>
      </c>
      <c r="F792" s="5"/>
      <c r="G792" s="5"/>
      <c r="H792" s="5"/>
    </row>
    <row r="793" spans="1:8" x14ac:dyDescent="0.3">
      <c r="A793" s="9">
        <f>ROW()-ROW($A$14)</f>
        <v>779</v>
      </c>
      <c r="B793" s="9" t="e">
        <f>IF(A793&lt;=$B$8,$B$6+(A793-1)*($B$7-$B$6)/MAX(1,$B$8-1),NA())</f>
        <v>#N/A</v>
      </c>
      <c r="C793" s="9" t="e">
        <f>RADIANS(B793)</f>
        <v>#N/A</v>
      </c>
      <c r="D793" s="9" t="e">
        <f>($B$3+$B$4)*COS(C793)-$B$4*COS((($B$3+$B$4)/$B$4)*C793)</f>
        <v>#N/A</v>
      </c>
      <c r="E793" s="9" t="e">
        <f>($B$3+$B$4)*SIN(C793)-$B$4*SIN((($B$3+$B$4)/$B$4)*C793)</f>
        <v>#N/A</v>
      </c>
      <c r="F793" s="5"/>
      <c r="G793" s="5"/>
      <c r="H793" s="5"/>
    </row>
    <row r="794" spans="1:8" x14ac:dyDescent="0.3">
      <c r="A794" s="9">
        <f>ROW()-ROW($A$14)</f>
        <v>780</v>
      </c>
      <c r="B794" s="9" t="e">
        <f>IF(A794&lt;=$B$8,$B$6+(A794-1)*($B$7-$B$6)/MAX(1,$B$8-1),NA())</f>
        <v>#N/A</v>
      </c>
      <c r="C794" s="9" t="e">
        <f>RADIANS(B794)</f>
        <v>#N/A</v>
      </c>
      <c r="D794" s="9" t="e">
        <f>($B$3+$B$4)*COS(C794)-$B$4*COS((($B$3+$B$4)/$B$4)*C794)</f>
        <v>#N/A</v>
      </c>
      <c r="E794" s="9" t="e">
        <f>($B$3+$B$4)*SIN(C794)-$B$4*SIN((($B$3+$B$4)/$B$4)*C794)</f>
        <v>#N/A</v>
      </c>
      <c r="F794" s="5"/>
      <c r="G794" s="5"/>
      <c r="H794" s="5"/>
    </row>
    <row r="795" spans="1:8" x14ac:dyDescent="0.3">
      <c r="A795" s="9">
        <f>ROW()-ROW($A$14)</f>
        <v>781</v>
      </c>
      <c r="B795" s="9" t="e">
        <f>IF(A795&lt;=$B$8,$B$6+(A795-1)*($B$7-$B$6)/MAX(1,$B$8-1),NA())</f>
        <v>#N/A</v>
      </c>
      <c r="C795" s="9" t="e">
        <f>RADIANS(B795)</f>
        <v>#N/A</v>
      </c>
      <c r="D795" s="9" t="e">
        <f>($B$3+$B$4)*COS(C795)-$B$4*COS((($B$3+$B$4)/$B$4)*C795)</f>
        <v>#N/A</v>
      </c>
      <c r="E795" s="9" t="e">
        <f>($B$3+$B$4)*SIN(C795)-$B$4*SIN((($B$3+$B$4)/$B$4)*C795)</f>
        <v>#N/A</v>
      </c>
      <c r="F795" s="5"/>
      <c r="G795" s="5"/>
      <c r="H795" s="5"/>
    </row>
    <row r="796" spans="1:8" x14ac:dyDescent="0.3">
      <c r="A796" s="9">
        <f>ROW()-ROW($A$14)</f>
        <v>782</v>
      </c>
      <c r="B796" s="9" t="e">
        <f>IF(A796&lt;=$B$8,$B$6+(A796-1)*($B$7-$B$6)/MAX(1,$B$8-1),NA())</f>
        <v>#N/A</v>
      </c>
      <c r="C796" s="9" t="e">
        <f>RADIANS(B796)</f>
        <v>#N/A</v>
      </c>
      <c r="D796" s="9" t="e">
        <f>($B$3+$B$4)*COS(C796)-$B$4*COS((($B$3+$B$4)/$B$4)*C796)</f>
        <v>#N/A</v>
      </c>
      <c r="E796" s="9" t="e">
        <f>($B$3+$B$4)*SIN(C796)-$B$4*SIN((($B$3+$B$4)/$B$4)*C796)</f>
        <v>#N/A</v>
      </c>
      <c r="F796" s="5"/>
      <c r="G796" s="5"/>
      <c r="H796" s="5"/>
    </row>
    <row r="797" spans="1:8" x14ac:dyDescent="0.3">
      <c r="A797" s="9">
        <f>ROW()-ROW($A$14)</f>
        <v>783</v>
      </c>
      <c r="B797" s="9" t="e">
        <f>IF(A797&lt;=$B$8,$B$6+(A797-1)*($B$7-$B$6)/MAX(1,$B$8-1),NA())</f>
        <v>#N/A</v>
      </c>
      <c r="C797" s="9" t="e">
        <f>RADIANS(B797)</f>
        <v>#N/A</v>
      </c>
      <c r="D797" s="9" t="e">
        <f>($B$3+$B$4)*COS(C797)-$B$4*COS((($B$3+$B$4)/$B$4)*C797)</f>
        <v>#N/A</v>
      </c>
      <c r="E797" s="9" t="e">
        <f>($B$3+$B$4)*SIN(C797)-$B$4*SIN((($B$3+$B$4)/$B$4)*C797)</f>
        <v>#N/A</v>
      </c>
      <c r="F797" s="5"/>
      <c r="G797" s="5"/>
      <c r="H797" s="5"/>
    </row>
    <row r="798" spans="1:8" x14ac:dyDescent="0.3">
      <c r="A798" s="9">
        <f>ROW()-ROW($A$14)</f>
        <v>784</v>
      </c>
      <c r="B798" s="9" t="e">
        <f>IF(A798&lt;=$B$8,$B$6+(A798-1)*($B$7-$B$6)/MAX(1,$B$8-1),NA())</f>
        <v>#N/A</v>
      </c>
      <c r="C798" s="9" t="e">
        <f>RADIANS(B798)</f>
        <v>#N/A</v>
      </c>
      <c r="D798" s="9" t="e">
        <f>($B$3+$B$4)*COS(C798)-$B$4*COS((($B$3+$B$4)/$B$4)*C798)</f>
        <v>#N/A</v>
      </c>
      <c r="E798" s="9" t="e">
        <f>($B$3+$B$4)*SIN(C798)-$B$4*SIN((($B$3+$B$4)/$B$4)*C798)</f>
        <v>#N/A</v>
      </c>
      <c r="F798" s="5"/>
      <c r="G798" s="5"/>
      <c r="H798" s="5"/>
    </row>
    <row r="799" spans="1:8" x14ac:dyDescent="0.3">
      <c r="A799" s="9">
        <f>ROW()-ROW($A$14)</f>
        <v>785</v>
      </c>
      <c r="B799" s="9" t="e">
        <f>IF(A799&lt;=$B$8,$B$6+(A799-1)*($B$7-$B$6)/MAX(1,$B$8-1),NA())</f>
        <v>#N/A</v>
      </c>
      <c r="C799" s="9" t="e">
        <f>RADIANS(B799)</f>
        <v>#N/A</v>
      </c>
      <c r="D799" s="9" t="e">
        <f>($B$3+$B$4)*COS(C799)-$B$4*COS((($B$3+$B$4)/$B$4)*C799)</f>
        <v>#N/A</v>
      </c>
      <c r="E799" s="9" t="e">
        <f>($B$3+$B$4)*SIN(C799)-$B$4*SIN((($B$3+$B$4)/$B$4)*C799)</f>
        <v>#N/A</v>
      </c>
      <c r="F799" s="5"/>
      <c r="G799" s="5"/>
      <c r="H799" s="5"/>
    </row>
    <row r="800" spans="1:8" x14ac:dyDescent="0.3">
      <c r="A800" s="9">
        <f>ROW()-ROW($A$14)</f>
        <v>786</v>
      </c>
      <c r="B800" s="9" t="e">
        <f>IF(A800&lt;=$B$8,$B$6+(A800-1)*($B$7-$B$6)/MAX(1,$B$8-1),NA())</f>
        <v>#N/A</v>
      </c>
      <c r="C800" s="9" t="e">
        <f>RADIANS(B800)</f>
        <v>#N/A</v>
      </c>
      <c r="D800" s="9" t="e">
        <f>($B$3+$B$4)*COS(C800)-$B$4*COS((($B$3+$B$4)/$B$4)*C800)</f>
        <v>#N/A</v>
      </c>
      <c r="E800" s="9" t="e">
        <f>($B$3+$B$4)*SIN(C800)-$B$4*SIN((($B$3+$B$4)/$B$4)*C800)</f>
        <v>#N/A</v>
      </c>
      <c r="F800" s="5"/>
      <c r="G800" s="5"/>
      <c r="H800" s="5"/>
    </row>
    <row r="801" spans="1:8" x14ac:dyDescent="0.3">
      <c r="A801" s="9">
        <f>ROW()-ROW($A$14)</f>
        <v>787</v>
      </c>
      <c r="B801" s="9" t="e">
        <f>IF(A801&lt;=$B$8,$B$6+(A801-1)*($B$7-$B$6)/MAX(1,$B$8-1),NA())</f>
        <v>#N/A</v>
      </c>
      <c r="C801" s="9" t="e">
        <f>RADIANS(B801)</f>
        <v>#N/A</v>
      </c>
      <c r="D801" s="9" t="e">
        <f>($B$3+$B$4)*COS(C801)-$B$4*COS((($B$3+$B$4)/$B$4)*C801)</f>
        <v>#N/A</v>
      </c>
      <c r="E801" s="9" t="e">
        <f>($B$3+$B$4)*SIN(C801)-$B$4*SIN((($B$3+$B$4)/$B$4)*C801)</f>
        <v>#N/A</v>
      </c>
      <c r="F801" s="5"/>
      <c r="G801" s="5"/>
      <c r="H801" s="5"/>
    </row>
    <row r="802" spans="1:8" x14ac:dyDescent="0.3">
      <c r="A802" s="9">
        <f>ROW()-ROW($A$14)</f>
        <v>788</v>
      </c>
      <c r="B802" s="9" t="e">
        <f>IF(A802&lt;=$B$8,$B$6+(A802-1)*($B$7-$B$6)/MAX(1,$B$8-1),NA())</f>
        <v>#N/A</v>
      </c>
      <c r="C802" s="9" t="e">
        <f>RADIANS(B802)</f>
        <v>#N/A</v>
      </c>
      <c r="D802" s="9" t="e">
        <f>($B$3+$B$4)*COS(C802)-$B$4*COS((($B$3+$B$4)/$B$4)*C802)</f>
        <v>#N/A</v>
      </c>
      <c r="E802" s="9" t="e">
        <f>($B$3+$B$4)*SIN(C802)-$B$4*SIN((($B$3+$B$4)/$B$4)*C802)</f>
        <v>#N/A</v>
      </c>
      <c r="F802" s="5"/>
      <c r="G802" s="5"/>
      <c r="H802" s="5"/>
    </row>
    <row r="803" spans="1:8" x14ac:dyDescent="0.3">
      <c r="A803" s="9">
        <f>ROW()-ROW($A$14)</f>
        <v>789</v>
      </c>
      <c r="B803" s="9" t="e">
        <f>IF(A803&lt;=$B$8,$B$6+(A803-1)*($B$7-$B$6)/MAX(1,$B$8-1),NA())</f>
        <v>#N/A</v>
      </c>
      <c r="C803" s="9" t="e">
        <f>RADIANS(B803)</f>
        <v>#N/A</v>
      </c>
      <c r="D803" s="9" t="e">
        <f>($B$3+$B$4)*COS(C803)-$B$4*COS((($B$3+$B$4)/$B$4)*C803)</f>
        <v>#N/A</v>
      </c>
      <c r="E803" s="9" t="e">
        <f>($B$3+$B$4)*SIN(C803)-$B$4*SIN((($B$3+$B$4)/$B$4)*C803)</f>
        <v>#N/A</v>
      </c>
      <c r="F803" s="5"/>
      <c r="G803" s="5"/>
      <c r="H803" s="5"/>
    </row>
    <row r="804" spans="1:8" x14ac:dyDescent="0.3">
      <c r="A804" s="9">
        <f>ROW()-ROW($A$14)</f>
        <v>790</v>
      </c>
      <c r="B804" s="9" t="e">
        <f>IF(A804&lt;=$B$8,$B$6+(A804-1)*($B$7-$B$6)/MAX(1,$B$8-1),NA())</f>
        <v>#N/A</v>
      </c>
      <c r="C804" s="9" t="e">
        <f>RADIANS(B804)</f>
        <v>#N/A</v>
      </c>
      <c r="D804" s="9" t="e">
        <f>($B$3+$B$4)*COS(C804)-$B$4*COS((($B$3+$B$4)/$B$4)*C804)</f>
        <v>#N/A</v>
      </c>
      <c r="E804" s="9" t="e">
        <f>($B$3+$B$4)*SIN(C804)-$B$4*SIN((($B$3+$B$4)/$B$4)*C804)</f>
        <v>#N/A</v>
      </c>
      <c r="F804" s="5"/>
      <c r="G804" s="5"/>
      <c r="H804" s="5"/>
    </row>
    <row r="805" spans="1:8" x14ac:dyDescent="0.3">
      <c r="A805" s="9">
        <f>ROW()-ROW($A$14)</f>
        <v>791</v>
      </c>
      <c r="B805" s="9" t="e">
        <f>IF(A805&lt;=$B$8,$B$6+(A805-1)*($B$7-$B$6)/MAX(1,$B$8-1),NA())</f>
        <v>#N/A</v>
      </c>
      <c r="C805" s="9" t="e">
        <f>RADIANS(B805)</f>
        <v>#N/A</v>
      </c>
      <c r="D805" s="9" t="e">
        <f>($B$3+$B$4)*COS(C805)-$B$4*COS((($B$3+$B$4)/$B$4)*C805)</f>
        <v>#N/A</v>
      </c>
      <c r="E805" s="9" t="e">
        <f>($B$3+$B$4)*SIN(C805)-$B$4*SIN((($B$3+$B$4)/$B$4)*C805)</f>
        <v>#N/A</v>
      </c>
      <c r="F805" s="5"/>
      <c r="G805" s="5"/>
      <c r="H805" s="5"/>
    </row>
    <row r="806" spans="1:8" x14ac:dyDescent="0.3">
      <c r="A806" s="9">
        <f>ROW()-ROW($A$14)</f>
        <v>792</v>
      </c>
      <c r="B806" s="9" t="e">
        <f>IF(A806&lt;=$B$8,$B$6+(A806-1)*($B$7-$B$6)/MAX(1,$B$8-1),NA())</f>
        <v>#N/A</v>
      </c>
      <c r="C806" s="9" t="e">
        <f>RADIANS(B806)</f>
        <v>#N/A</v>
      </c>
      <c r="D806" s="9" t="e">
        <f>($B$3+$B$4)*COS(C806)-$B$4*COS((($B$3+$B$4)/$B$4)*C806)</f>
        <v>#N/A</v>
      </c>
      <c r="E806" s="9" t="e">
        <f>($B$3+$B$4)*SIN(C806)-$B$4*SIN((($B$3+$B$4)/$B$4)*C806)</f>
        <v>#N/A</v>
      </c>
      <c r="F806" s="5"/>
      <c r="G806" s="5"/>
      <c r="H806" s="5"/>
    </row>
    <row r="807" spans="1:8" x14ac:dyDescent="0.3">
      <c r="A807" s="9">
        <f>ROW()-ROW($A$14)</f>
        <v>793</v>
      </c>
      <c r="B807" s="9" t="e">
        <f>IF(A807&lt;=$B$8,$B$6+(A807-1)*($B$7-$B$6)/MAX(1,$B$8-1),NA())</f>
        <v>#N/A</v>
      </c>
      <c r="C807" s="9" t="e">
        <f>RADIANS(B807)</f>
        <v>#N/A</v>
      </c>
      <c r="D807" s="9" t="e">
        <f>($B$3+$B$4)*COS(C807)-$B$4*COS((($B$3+$B$4)/$B$4)*C807)</f>
        <v>#N/A</v>
      </c>
      <c r="E807" s="9" t="e">
        <f>($B$3+$B$4)*SIN(C807)-$B$4*SIN((($B$3+$B$4)/$B$4)*C807)</f>
        <v>#N/A</v>
      </c>
      <c r="F807" s="5"/>
      <c r="G807" s="5"/>
      <c r="H807" s="5"/>
    </row>
    <row r="808" spans="1:8" x14ac:dyDescent="0.3">
      <c r="A808" s="9">
        <f>ROW()-ROW($A$14)</f>
        <v>794</v>
      </c>
      <c r="B808" s="9" t="e">
        <f>IF(A808&lt;=$B$8,$B$6+(A808-1)*($B$7-$B$6)/MAX(1,$B$8-1),NA())</f>
        <v>#N/A</v>
      </c>
      <c r="C808" s="9" t="e">
        <f>RADIANS(B808)</f>
        <v>#N/A</v>
      </c>
      <c r="D808" s="9" t="e">
        <f>($B$3+$B$4)*COS(C808)-$B$4*COS((($B$3+$B$4)/$B$4)*C808)</f>
        <v>#N/A</v>
      </c>
      <c r="E808" s="9" t="e">
        <f>($B$3+$B$4)*SIN(C808)-$B$4*SIN((($B$3+$B$4)/$B$4)*C808)</f>
        <v>#N/A</v>
      </c>
      <c r="F808" s="5"/>
      <c r="G808" s="5"/>
      <c r="H808" s="5"/>
    </row>
    <row r="809" spans="1:8" x14ac:dyDescent="0.3">
      <c r="A809" s="9">
        <f>ROW()-ROW($A$14)</f>
        <v>795</v>
      </c>
      <c r="B809" s="9" t="e">
        <f>IF(A809&lt;=$B$8,$B$6+(A809-1)*($B$7-$B$6)/MAX(1,$B$8-1),NA())</f>
        <v>#N/A</v>
      </c>
      <c r="C809" s="9" t="e">
        <f>RADIANS(B809)</f>
        <v>#N/A</v>
      </c>
      <c r="D809" s="9" t="e">
        <f>($B$3+$B$4)*COS(C809)-$B$4*COS((($B$3+$B$4)/$B$4)*C809)</f>
        <v>#N/A</v>
      </c>
      <c r="E809" s="9" t="e">
        <f>($B$3+$B$4)*SIN(C809)-$B$4*SIN((($B$3+$B$4)/$B$4)*C809)</f>
        <v>#N/A</v>
      </c>
      <c r="F809" s="5"/>
      <c r="G809" s="5"/>
      <c r="H809" s="5"/>
    </row>
    <row r="810" spans="1:8" x14ac:dyDescent="0.3">
      <c r="A810" s="9">
        <f>ROW()-ROW($A$14)</f>
        <v>796</v>
      </c>
      <c r="B810" s="9" t="e">
        <f>IF(A810&lt;=$B$8,$B$6+(A810-1)*($B$7-$B$6)/MAX(1,$B$8-1),NA())</f>
        <v>#N/A</v>
      </c>
      <c r="C810" s="9" t="e">
        <f>RADIANS(B810)</f>
        <v>#N/A</v>
      </c>
      <c r="D810" s="9" t="e">
        <f>($B$3+$B$4)*COS(C810)-$B$4*COS((($B$3+$B$4)/$B$4)*C810)</f>
        <v>#N/A</v>
      </c>
      <c r="E810" s="9" t="e">
        <f>($B$3+$B$4)*SIN(C810)-$B$4*SIN((($B$3+$B$4)/$B$4)*C810)</f>
        <v>#N/A</v>
      </c>
      <c r="F810" s="5"/>
      <c r="G810" s="5"/>
      <c r="H810" s="5"/>
    </row>
    <row r="811" spans="1:8" x14ac:dyDescent="0.3">
      <c r="A811" s="9">
        <f>ROW()-ROW($A$14)</f>
        <v>797</v>
      </c>
      <c r="B811" s="9" t="e">
        <f>IF(A811&lt;=$B$8,$B$6+(A811-1)*($B$7-$B$6)/MAX(1,$B$8-1),NA())</f>
        <v>#N/A</v>
      </c>
      <c r="C811" s="9" t="e">
        <f>RADIANS(B811)</f>
        <v>#N/A</v>
      </c>
      <c r="D811" s="9" t="e">
        <f>($B$3+$B$4)*COS(C811)-$B$4*COS((($B$3+$B$4)/$B$4)*C811)</f>
        <v>#N/A</v>
      </c>
      <c r="E811" s="9" t="e">
        <f>($B$3+$B$4)*SIN(C811)-$B$4*SIN((($B$3+$B$4)/$B$4)*C811)</f>
        <v>#N/A</v>
      </c>
      <c r="F811" s="5"/>
      <c r="G811" s="5"/>
      <c r="H811" s="5"/>
    </row>
    <row r="812" spans="1:8" x14ac:dyDescent="0.3">
      <c r="A812" s="9">
        <f>ROW()-ROW($A$14)</f>
        <v>798</v>
      </c>
      <c r="B812" s="9" t="e">
        <f>IF(A812&lt;=$B$8,$B$6+(A812-1)*($B$7-$B$6)/MAX(1,$B$8-1),NA())</f>
        <v>#N/A</v>
      </c>
      <c r="C812" s="9" t="e">
        <f>RADIANS(B812)</f>
        <v>#N/A</v>
      </c>
      <c r="D812" s="9" t="e">
        <f>($B$3+$B$4)*COS(C812)-$B$4*COS((($B$3+$B$4)/$B$4)*C812)</f>
        <v>#N/A</v>
      </c>
      <c r="E812" s="9" t="e">
        <f>($B$3+$B$4)*SIN(C812)-$B$4*SIN((($B$3+$B$4)/$B$4)*C812)</f>
        <v>#N/A</v>
      </c>
      <c r="F812" s="5"/>
      <c r="G812" s="5"/>
      <c r="H812" s="5"/>
    </row>
    <row r="813" spans="1:8" x14ac:dyDescent="0.3">
      <c r="A813" s="9">
        <f>ROW()-ROW($A$14)</f>
        <v>799</v>
      </c>
      <c r="B813" s="9" t="e">
        <f>IF(A813&lt;=$B$8,$B$6+(A813-1)*($B$7-$B$6)/MAX(1,$B$8-1),NA())</f>
        <v>#N/A</v>
      </c>
      <c r="C813" s="9" t="e">
        <f>RADIANS(B813)</f>
        <v>#N/A</v>
      </c>
      <c r="D813" s="9" t="e">
        <f>($B$3+$B$4)*COS(C813)-$B$4*COS((($B$3+$B$4)/$B$4)*C813)</f>
        <v>#N/A</v>
      </c>
      <c r="E813" s="9" t="e">
        <f>($B$3+$B$4)*SIN(C813)-$B$4*SIN((($B$3+$B$4)/$B$4)*C813)</f>
        <v>#N/A</v>
      </c>
      <c r="F813" s="5"/>
      <c r="G813" s="5"/>
      <c r="H813" s="5"/>
    </row>
    <row r="814" spans="1:8" x14ac:dyDescent="0.3">
      <c r="A814" s="9">
        <f>ROW()-ROW($A$14)</f>
        <v>800</v>
      </c>
      <c r="B814" s="9" t="e">
        <f>IF(A814&lt;=$B$8,$B$6+(A814-1)*($B$7-$B$6)/MAX(1,$B$8-1),NA())</f>
        <v>#N/A</v>
      </c>
      <c r="C814" s="9" t="e">
        <f>RADIANS(B814)</f>
        <v>#N/A</v>
      </c>
      <c r="D814" s="9" t="e">
        <f>($B$3+$B$4)*COS(C814)-$B$4*COS((($B$3+$B$4)/$B$4)*C814)</f>
        <v>#N/A</v>
      </c>
      <c r="E814" s="9" t="e">
        <f>($B$3+$B$4)*SIN(C814)-$B$4*SIN((($B$3+$B$4)/$B$4)*C814)</f>
        <v>#N/A</v>
      </c>
      <c r="F814" s="5"/>
      <c r="G814" s="5"/>
      <c r="H814" s="5"/>
    </row>
    <row r="815" spans="1:8" x14ac:dyDescent="0.3">
      <c r="A815" s="9">
        <f>ROW()-ROW($A$14)</f>
        <v>801</v>
      </c>
      <c r="B815" s="9" t="e">
        <f>IF(A815&lt;=$B$8,$B$6+(A815-1)*($B$7-$B$6)/MAX(1,$B$8-1),NA())</f>
        <v>#N/A</v>
      </c>
      <c r="C815" s="9" t="e">
        <f>RADIANS(B815)</f>
        <v>#N/A</v>
      </c>
      <c r="D815" s="9" t="e">
        <f>($B$3+$B$4)*COS(C815)-$B$4*COS((($B$3+$B$4)/$B$4)*C815)</f>
        <v>#N/A</v>
      </c>
      <c r="E815" s="9" t="e">
        <f>($B$3+$B$4)*SIN(C815)-$B$4*SIN((($B$3+$B$4)/$B$4)*C815)</f>
        <v>#N/A</v>
      </c>
      <c r="F815" s="5"/>
      <c r="G815" s="5"/>
      <c r="H815" s="5"/>
    </row>
    <row r="816" spans="1:8" x14ac:dyDescent="0.3">
      <c r="A816" s="9">
        <f>ROW()-ROW($A$14)</f>
        <v>802</v>
      </c>
      <c r="B816" s="9" t="e">
        <f>IF(A816&lt;=$B$8,$B$6+(A816-1)*($B$7-$B$6)/MAX(1,$B$8-1),NA())</f>
        <v>#N/A</v>
      </c>
      <c r="C816" s="9" t="e">
        <f>RADIANS(B816)</f>
        <v>#N/A</v>
      </c>
      <c r="D816" s="9" t="e">
        <f>($B$3+$B$4)*COS(C816)-$B$4*COS((($B$3+$B$4)/$B$4)*C816)</f>
        <v>#N/A</v>
      </c>
      <c r="E816" s="9" t="e">
        <f>($B$3+$B$4)*SIN(C816)-$B$4*SIN((($B$3+$B$4)/$B$4)*C816)</f>
        <v>#N/A</v>
      </c>
      <c r="F816" s="5"/>
      <c r="G816" s="5"/>
      <c r="H816" s="5"/>
    </row>
    <row r="817" spans="1:8" x14ac:dyDescent="0.3">
      <c r="A817" s="9">
        <f>ROW()-ROW($A$14)</f>
        <v>803</v>
      </c>
      <c r="B817" s="9" t="e">
        <f>IF(A817&lt;=$B$8,$B$6+(A817-1)*($B$7-$B$6)/MAX(1,$B$8-1),NA())</f>
        <v>#N/A</v>
      </c>
      <c r="C817" s="9" t="e">
        <f>RADIANS(B817)</f>
        <v>#N/A</v>
      </c>
      <c r="D817" s="9" t="e">
        <f>($B$3+$B$4)*COS(C817)-$B$4*COS((($B$3+$B$4)/$B$4)*C817)</f>
        <v>#N/A</v>
      </c>
      <c r="E817" s="9" t="e">
        <f>($B$3+$B$4)*SIN(C817)-$B$4*SIN((($B$3+$B$4)/$B$4)*C817)</f>
        <v>#N/A</v>
      </c>
      <c r="F817" s="5"/>
      <c r="G817" s="5"/>
      <c r="H817" s="5"/>
    </row>
    <row r="818" spans="1:8" x14ac:dyDescent="0.3">
      <c r="A818" s="9">
        <f>ROW()-ROW($A$14)</f>
        <v>804</v>
      </c>
      <c r="B818" s="9" t="e">
        <f>IF(A818&lt;=$B$8,$B$6+(A818-1)*($B$7-$B$6)/MAX(1,$B$8-1),NA())</f>
        <v>#N/A</v>
      </c>
      <c r="C818" s="9" t="e">
        <f>RADIANS(B818)</f>
        <v>#N/A</v>
      </c>
      <c r="D818" s="9" t="e">
        <f>($B$3+$B$4)*COS(C818)-$B$4*COS((($B$3+$B$4)/$B$4)*C818)</f>
        <v>#N/A</v>
      </c>
      <c r="E818" s="9" t="e">
        <f>($B$3+$B$4)*SIN(C818)-$B$4*SIN((($B$3+$B$4)/$B$4)*C818)</f>
        <v>#N/A</v>
      </c>
      <c r="F818" s="5"/>
      <c r="G818" s="5"/>
      <c r="H818" s="5"/>
    </row>
    <row r="819" spans="1:8" x14ac:dyDescent="0.3">
      <c r="A819" s="9">
        <f>ROW()-ROW($A$14)</f>
        <v>805</v>
      </c>
      <c r="B819" s="9" t="e">
        <f>IF(A819&lt;=$B$8,$B$6+(A819-1)*($B$7-$B$6)/MAX(1,$B$8-1),NA())</f>
        <v>#N/A</v>
      </c>
      <c r="C819" s="9" t="e">
        <f>RADIANS(B819)</f>
        <v>#N/A</v>
      </c>
      <c r="D819" s="9" t="e">
        <f>($B$3+$B$4)*COS(C819)-$B$4*COS((($B$3+$B$4)/$B$4)*C819)</f>
        <v>#N/A</v>
      </c>
      <c r="E819" s="9" t="e">
        <f>($B$3+$B$4)*SIN(C819)-$B$4*SIN((($B$3+$B$4)/$B$4)*C819)</f>
        <v>#N/A</v>
      </c>
      <c r="F819" s="5"/>
      <c r="G819" s="5"/>
      <c r="H819" s="5"/>
    </row>
    <row r="820" spans="1:8" x14ac:dyDescent="0.3">
      <c r="A820" s="9">
        <f>ROW()-ROW($A$14)</f>
        <v>806</v>
      </c>
      <c r="B820" s="9" t="e">
        <f>IF(A820&lt;=$B$8,$B$6+(A820-1)*($B$7-$B$6)/MAX(1,$B$8-1),NA())</f>
        <v>#N/A</v>
      </c>
      <c r="C820" s="9" t="e">
        <f>RADIANS(B820)</f>
        <v>#N/A</v>
      </c>
      <c r="D820" s="9" t="e">
        <f>($B$3+$B$4)*COS(C820)-$B$4*COS((($B$3+$B$4)/$B$4)*C820)</f>
        <v>#N/A</v>
      </c>
      <c r="E820" s="9" t="e">
        <f>($B$3+$B$4)*SIN(C820)-$B$4*SIN((($B$3+$B$4)/$B$4)*C820)</f>
        <v>#N/A</v>
      </c>
      <c r="F820" s="5"/>
      <c r="G820" s="5"/>
      <c r="H820" s="5"/>
    </row>
    <row r="821" spans="1:8" x14ac:dyDescent="0.3">
      <c r="A821" s="9">
        <f>ROW()-ROW($A$14)</f>
        <v>807</v>
      </c>
      <c r="B821" s="9" t="e">
        <f>IF(A821&lt;=$B$8,$B$6+(A821-1)*($B$7-$B$6)/MAX(1,$B$8-1),NA())</f>
        <v>#N/A</v>
      </c>
      <c r="C821" s="9" t="e">
        <f>RADIANS(B821)</f>
        <v>#N/A</v>
      </c>
      <c r="D821" s="9" t="e">
        <f>($B$3+$B$4)*COS(C821)-$B$4*COS((($B$3+$B$4)/$B$4)*C821)</f>
        <v>#N/A</v>
      </c>
      <c r="E821" s="9" t="e">
        <f>($B$3+$B$4)*SIN(C821)-$B$4*SIN((($B$3+$B$4)/$B$4)*C821)</f>
        <v>#N/A</v>
      </c>
      <c r="F821" s="5"/>
      <c r="G821" s="5"/>
      <c r="H821" s="5"/>
    </row>
    <row r="822" spans="1:8" x14ac:dyDescent="0.3">
      <c r="A822" s="9">
        <f>ROW()-ROW($A$14)</f>
        <v>808</v>
      </c>
      <c r="B822" s="9" t="e">
        <f>IF(A822&lt;=$B$8,$B$6+(A822-1)*($B$7-$B$6)/MAX(1,$B$8-1),NA())</f>
        <v>#N/A</v>
      </c>
      <c r="C822" s="9" t="e">
        <f>RADIANS(B822)</f>
        <v>#N/A</v>
      </c>
      <c r="D822" s="9" t="e">
        <f>($B$3+$B$4)*COS(C822)-$B$4*COS((($B$3+$B$4)/$B$4)*C822)</f>
        <v>#N/A</v>
      </c>
      <c r="E822" s="9" t="e">
        <f>($B$3+$B$4)*SIN(C822)-$B$4*SIN((($B$3+$B$4)/$B$4)*C822)</f>
        <v>#N/A</v>
      </c>
      <c r="F822" s="5"/>
      <c r="G822" s="5"/>
      <c r="H822" s="5"/>
    </row>
    <row r="823" spans="1:8" x14ac:dyDescent="0.3">
      <c r="A823" s="9">
        <f>ROW()-ROW($A$14)</f>
        <v>809</v>
      </c>
      <c r="B823" s="9" t="e">
        <f>IF(A823&lt;=$B$8,$B$6+(A823-1)*($B$7-$B$6)/MAX(1,$B$8-1),NA())</f>
        <v>#N/A</v>
      </c>
      <c r="C823" s="9" t="e">
        <f>RADIANS(B823)</f>
        <v>#N/A</v>
      </c>
      <c r="D823" s="9" t="e">
        <f>($B$3+$B$4)*COS(C823)-$B$4*COS((($B$3+$B$4)/$B$4)*C823)</f>
        <v>#N/A</v>
      </c>
      <c r="E823" s="9" t="e">
        <f>($B$3+$B$4)*SIN(C823)-$B$4*SIN((($B$3+$B$4)/$B$4)*C823)</f>
        <v>#N/A</v>
      </c>
      <c r="F823" s="5"/>
      <c r="G823" s="5"/>
      <c r="H823" s="5"/>
    </row>
    <row r="824" spans="1:8" x14ac:dyDescent="0.3">
      <c r="A824" s="9">
        <f>ROW()-ROW($A$14)</f>
        <v>810</v>
      </c>
      <c r="B824" s="9" t="e">
        <f>IF(A824&lt;=$B$8,$B$6+(A824-1)*($B$7-$B$6)/MAX(1,$B$8-1),NA())</f>
        <v>#N/A</v>
      </c>
      <c r="C824" s="9" t="e">
        <f>RADIANS(B824)</f>
        <v>#N/A</v>
      </c>
      <c r="D824" s="9" t="e">
        <f>($B$3+$B$4)*COS(C824)-$B$4*COS((($B$3+$B$4)/$B$4)*C824)</f>
        <v>#N/A</v>
      </c>
      <c r="E824" s="9" t="e">
        <f>($B$3+$B$4)*SIN(C824)-$B$4*SIN((($B$3+$B$4)/$B$4)*C824)</f>
        <v>#N/A</v>
      </c>
      <c r="F824" s="5"/>
      <c r="G824" s="5"/>
      <c r="H824" s="5"/>
    </row>
    <row r="825" spans="1:8" x14ac:dyDescent="0.3">
      <c r="A825" s="9">
        <f>ROW()-ROW($A$14)</f>
        <v>811</v>
      </c>
      <c r="B825" s="9" t="e">
        <f>IF(A825&lt;=$B$8,$B$6+(A825-1)*($B$7-$B$6)/MAX(1,$B$8-1),NA())</f>
        <v>#N/A</v>
      </c>
      <c r="C825" s="9" t="e">
        <f>RADIANS(B825)</f>
        <v>#N/A</v>
      </c>
      <c r="D825" s="9" t="e">
        <f>($B$3+$B$4)*COS(C825)-$B$4*COS((($B$3+$B$4)/$B$4)*C825)</f>
        <v>#N/A</v>
      </c>
      <c r="E825" s="9" t="e">
        <f>($B$3+$B$4)*SIN(C825)-$B$4*SIN((($B$3+$B$4)/$B$4)*C825)</f>
        <v>#N/A</v>
      </c>
      <c r="F825" s="5"/>
      <c r="G825" s="5"/>
      <c r="H825" s="5"/>
    </row>
    <row r="826" spans="1:8" x14ac:dyDescent="0.3">
      <c r="A826" s="9">
        <f>ROW()-ROW($A$14)</f>
        <v>812</v>
      </c>
      <c r="B826" s="9" t="e">
        <f>IF(A826&lt;=$B$8,$B$6+(A826-1)*($B$7-$B$6)/MAX(1,$B$8-1),NA())</f>
        <v>#N/A</v>
      </c>
      <c r="C826" s="9" t="e">
        <f>RADIANS(B826)</f>
        <v>#N/A</v>
      </c>
      <c r="D826" s="9" t="e">
        <f>($B$3+$B$4)*COS(C826)-$B$4*COS((($B$3+$B$4)/$B$4)*C826)</f>
        <v>#N/A</v>
      </c>
      <c r="E826" s="9" t="e">
        <f>($B$3+$B$4)*SIN(C826)-$B$4*SIN((($B$3+$B$4)/$B$4)*C826)</f>
        <v>#N/A</v>
      </c>
      <c r="F826" s="5"/>
      <c r="G826" s="5"/>
      <c r="H826" s="5"/>
    </row>
    <row r="827" spans="1:8" x14ac:dyDescent="0.3">
      <c r="A827" s="9">
        <f>ROW()-ROW($A$14)</f>
        <v>813</v>
      </c>
      <c r="B827" s="9" t="e">
        <f>IF(A827&lt;=$B$8,$B$6+(A827-1)*($B$7-$B$6)/MAX(1,$B$8-1),NA())</f>
        <v>#N/A</v>
      </c>
      <c r="C827" s="9" t="e">
        <f>RADIANS(B827)</f>
        <v>#N/A</v>
      </c>
      <c r="D827" s="9" t="e">
        <f>($B$3+$B$4)*COS(C827)-$B$4*COS((($B$3+$B$4)/$B$4)*C827)</f>
        <v>#N/A</v>
      </c>
      <c r="E827" s="9" t="e">
        <f>($B$3+$B$4)*SIN(C827)-$B$4*SIN((($B$3+$B$4)/$B$4)*C827)</f>
        <v>#N/A</v>
      </c>
      <c r="F827" s="5"/>
      <c r="G827" s="5"/>
      <c r="H827" s="5"/>
    </row>
    <row r="828" spans="1:8" x14ac:dyDescent="0.3">
      <c r="A828" s="9">
        <f>ROW()-ROW($A$14)</f>
        <v>814</v>
      </c>
      <c r="B828" s="9" t="e">
        <f>IF(A828&lt;=$B$8,$B$6+(A828-1)*($B$7-$B$6)/MAX(1,$B$8-1),NA())</f>
        <v>#N/A</v>
      </c>
      <c r="C828" s="9" t="e">
        <f>RADIANS(B828)</f>
        <v>#N/A</v>
      </c>
      <c r="D828" s="9" t="e">
        <f>($B$3+$B$4)*COS(C828)-$B$4*COS((($B$3+$B$4)/$B$4)*C828)</f>
        <v>#N/A</v>
      </c>
      <c r="E828" s="9" t="e">
        <f>($B$3+$B$4)*SIN(C828)-$B$4*SIN((($B$3+$B$4)/$B$4)*C828)</f>
        <v>#N/A</v>
      </c>
      <c r="F828" s="5"/>
      <c r="G828" s="5"/>
      <c r="H828" s="5"/>
    </row>
    <row r="829" spans="1:8" x14ac:dyDescent="0.3">
      <c r="A829" s="9">
        <f>ROW()-ROW($A$14)</f>
        <v>815</v>
      </c>
      <c r="B829" s="9" t="e">
        <f>IF(A829&lt;=$B$8,$B$6+(A829-1)*($B$7-$B$6)/MAX(1,$B$8-1),NA())</f>
        <v>#N/A</v>
      </c>
      <c r="C829" s="9" t="e">
        <f>RADIANS(B829)</f>
        <v>#N/A</v>
      </c>
      <c r="D829" s="9" t="e">
        <f>($B$3+$B$4)*COS(C829)-$B$4*COS((($B$3+$B$4)/$B$4)*C829)</f>
        <v>#N/A</v>
      </c>
      <c r="E829" s="9" t="e">
        <f>($B$3+$B$4)*SIN(C829)-$B$4*SIN((($B$3+$B$4)/$B$4)*C829)</f>
        <v>#N/A</v>
      </c>
      <c r="F829" s="5"/>
      <c r="G829" s="5"/>
      <c r="H829" s="5"/>
    </row>
    <row r="830" spans="1:8" x14ac:dyDescent="0.3">
      <c r="A830" s="9">
        <f>ROW()-ROW($A$14)</f>
        <v>816</v>
      </c>
      <c r="B830" s="9" t="e">
        <f>IF(A830&lt;=$B$8,$B$6+(A830-1)*($B$7-$B$6)/MAX(1,$B$8-1),NA())</f>
        <v>#N/A</v>
      </c>
      <c r="C830" s="9" t="e">
        <f>RADIANS(B830)</f>
        <v>#N/A</v>
      </c>
      <c r="D830" s="9" t="e">
        <f>($B$3+$B$4)*COS(C830)-$B$4*COS((($B$3+$B$4)/$B$4)*C830)</f>
        <v>#N/A</v>
      </c>
      <c r="E830" s="9" t="e">
        <f>($B$3+$B$4)*SIN(C830)-$B$4*SIN((($B$3+$B$4)/$B$4)*C830)</f>
        <v>#N/A</v>
      </c>
      <c r="F830" s="5"/>
      <c r="G830" s="5"/>
      <c r="H830" s="5"/>
    </row>
    <row r="831" spans="1:8" x14ac:dyDescent="0.3">
      <c r="A831" s="9">
        <f>ROW()-ROW($A$14)</f>
        <v>817</v>
      </c>
      <c r="B831" s="9" t="e">
        <f>IF(A831&lt;=$B$8,$B$6+(A831-1)*($B$7-$B$6)/MAX(1,$B$8-1),NA())</f>
        <v>#N/A</v>
      </c>
      <c r="C831" s="9" t="e">
        <f>RADIANS(B831)</f>
        <v>#N/A</v>
      </c>
      <c r="D831" s="9" t="e">
        <f>($B$3+$B$4)*COS(C831)-$B$4*COS((($B$3+$B$4)/$B$4)*C831)</f>
        <v>#N/A</v>
      </c>
      <c r="E831" s="9" t="e">
        <f>($B$3+$B$4)*SIN(C831)-$B$4*SIN((($B$3+$B$4)/$B$4)*C831)</f>
        <v>#N/A</v>
      </c>
      <c r="F831" s="5"/>
      <c r="G831" s="5"/>
      <c r="H831" s="5"/>
    </row>
    <row r="832" spans="1:8" x14ac:dyDescent="0.3">
      <c r="A832" s="9">
        <f>ROW()-ROW($A$14)</f>
        <v>818</v>
      </c>
      <c r="B832" s="9" t="e">
        <f>IF(A832&lt;=$B$8,$B$6+(A832-1)*($B$7-$B$6)/MAX(1,$B$8-1),NA())</f>
        <v>#N/A</v>
      </c>
      <c r="C832" s="9" t="e">
        <f>RADIANS(B832)</f>
        <v>#N/A</v>
      </c>
      <c r="D832" s="9" t="e">
        <f>($B$3+$B$4)*COS(C832)-$B$4*COS((($B$3+$B$4)/$B$4)*C832)</f>
        <v>#N/A</v>
      </c>
      <c r="E832" s="9" t="e">
        <f>($B$3+$B$4)*SIN(C832)-$B$4*SIN((($B$3+$B$4)/$B$4)*C832)</f>
        <v>#N/A</v>
      </c>
      <c r="F832" s="5"/>
      <c r="G832" s="5"/>
      <c r="H832" s="5"/>
    </row>
    <row r="833" spans="1:8" x14ac:dyDescent="0.3">
      <c r="A833" s="9">
        <f>ROW()-ROW($A$14)</f>
        <v>819</v>
      </c>
      <c r="B833" s="9" t="e">
        <f>IF(A833&lt;=$B$8,$B$6+(A833-1)*($B$7-$B$6)/MAX(1,$B$8-1),NA())</f>
        <v>#N/A</v>
      </c>
      <c r="C833" s="9" t="e">
        <f>RADIANS(B833)</f>
        <v>#N/A</v>
      </c>
      <c r="D833" s="9" t="e">
        <f>($B$3+$B$4)*COS(C833)-$B$4*COS((($B$3+$B$4)/$B$4)*C833)</f>
        <v>#N/A</v>
      </c>
      <c r="E833" s="9" t="e">
        <f>($B$3+$B$4)*SIN(C833)-$B$4*SIN((($B$3+$B$4)/$B$4)*C833)</f>
        <v>#N/A</v>
      </c>
      <c r="F833" s="5"/>
      <c r="G833" s="5"/>
      <c r="H833" s="5"/>
    </row>
    <row r="834" spans="1:8" x14ac:dyDescent="0.3">
      <c r="A834" s="9">
        <f>ROW()-ROW($A$14)</f>
        <v>820</v>
      </c>
      <c r="B834" s="9" t="e">
        <f>IF(A834&lt;=$B$8,$B$6+(A834-1)*($B$7-$B$6)/MAX(1,$B$8-1),NA())</f>
        <v>#N/A</v>
      </c>
      <c r="C834" s="9" t="e">
        <f>RADIANS(B834)</f>
        <v>#N/A</v>
      </c>
      <c r="D834" s="9" t="e">
        <f>($B$3+$B$4)*COS(C834)-$B$4*COS((($B$3+$B$4)/$B$4)*C834)</f>
        <v>#N/A</v>
      </c>
      <c r="E834" s="9" t="e">
        <f>($B$3+$B$4)*SIN(C834)-$B$4*SIN((($B$3+$B$4)/$B$4)*C834)</f>
        <v>#N/A</v>
      </c>
      <c r="F834" s="5"/>
      <c r="G834" s="5"/>
      <c r="H834" s="5"/>
    </row>
    <row r="835" spans="1:8" x14ac:dyDescent="0.3">
      <c r="A835" s="9">
        <f>ROW()-ROW($A$14)</f>
        <v>821</v>
      </c>
      <c r="B835" s="9" t="e">
        <f>IF(A835&lt;=$B$8,$B$6+(A835-1)*($B$7-$B$6)/MAX(1,$B$8-1),NA())</f>
        <v>#N/A</v>
      </c>
      <c r="C835" s="9" t="e">
        <f>RADIANS(B835)</f>
        <v>#N/A</v>
      </c>
      <c r="D835" s="9" t="e">
        <f>($B$3+$B$4)*COS(C835)-$B$4*COS((($B$3+$B$4)/$B$4)*C835)</f>
        <v>#N/A</v>
      </c>
      <c r="E835" s="9" t="e">
        <f>($B$3+$B$4)*SIN(C835)-$B$4*SIN((($B$3+$B$4)/$B$4)*C835)</f>
        <v>#N/A</v>
      </c>
      <c r="F835" s="5"/>
      <c r="G835" s="5"/>
      <c r="H835" s="5"/>
    </row>
    <row r="836" spans="1:8" x14ac:dyDescent="0.3">
      <c r="A836" s="9">
        <f>ROW()-ROW($A$14)</f>
        <v>822</v>
      </c>
      <c r="B836" s="9" t="e">
        <f>IF(A836&lt;=$B$8,$B$6+(A836-1)*($B$7-$B$6)/MAX(1,$B$8-1),NA())</f>
        <v>#N/A</v>
      </c>
      <c r="C836" s="9" t="e">
        <f>RADIANS(B836)</f>
        <v>#N/A</v>
      </c>
      <c r="D836" s="9" t="e">
        <f>($B$3+$B$4)*COS(C836)-$B$4*COS((($B$3+$B$4)/$B$4)*C836)</f>
        <v>#N/A</v>
      </c>
      <c r="E836" s="9" t="e">
        <f>($B$3+$B$4)*SIN(C836)-$B$4*SIN((($B$3+$B$4)/$B$4)*C836)</f>
        <v>#N/A</v>
      </c>
      <c r="F836" s="5"/>
      <c r="G836" s="5"/>
      <c r="H836" s="5"/>
    </row>
    <row r="837" spans="1:8" x14ac:dyDescent="0.3">
      <c r="A837" s="9">
        <f>ROW()-ROW($A$14)</f>
        <v>823</v>
      </c>
      <c r="B837" s="9" t="e">
        <f>IF(A837&lt;=$B$8,$B$6+(A837-1)*($B$7-$B$6)/MAX(1,$B$8-1),NA())</f>
        <v>#N/A</v>
      </c>
      <c r="C837" s="9" t="e">
        <f>RADIANS(B837)</f>
        <v>#N/A</v>
      </c>
      <c r="D837" s="9" t="e">
        <f>($B$3+$B$4)*COS(C837)-$B$4*COS((($B$3+$B$4)/$B$4)*C837)</f>
        <v>#N/A</v>
      </c>
      <c r="E837" s="9" t="e">
        <f>($B$3+$B$4)*SIN(C837)-$B$4*SIN((($B$3+$B$4)/$B$4)*C837)</f>
        <v>#N/A</v>
      </c>
      <c r="F837" s="5"/>
      <c r="G837" s="5"/>
      <c r="H837" s="5"/>
    </row>
    <row r="838" spans="1:8" x14ac:dyDescent="0.3">
      <c r="A838" s="9">
        <f>ROW()-ROW($A$14)</f>
        <v>824</v>
      </c>
      <c r="B838" s="9" t="e">
        <f>IF(A838&lt;=$B$8,$B$6+(A838-1)*($B$7-$B$6)/MAX(1,$B$8-1),NA())</f>
        <v>#N/A</v>
      </c>
      <c r="C838" s="9" t="e">
        <f>RADIANS(B838)</f>
        <v>#N/A</v>
      </c>
      <c r="D838" s="9" t="e">
        <f>($B$3+$B$4)*COS(C838)-$B$4*COS((($B$3+$B$4)/$B$4)*C838)</f>
        <v>#N/A</v>
      </c>
      <c r="E838" s="9" t="e">
        <f>($B$3+$B$4)*SIN(C838)-$B$4*SIN((($B$3+$B$4)/$B$4)*C838)</f>
        <v>#N/A</v>
      </c>
      <c r="F838" s="5"/>
      <c r="G838" s="5"/>
      <c r="H838" s="5"/>
    </row>
    <row r="839" spans="1:8" x14ac:dyDescent="0.3">
      <c r="A839" s="9">
        <f>ROW()-ROW($A$14)</f>
        <v>825</v>
      </c>
      <c r="B839" s="9" t="e">
        <f>IF(A839&lt;=$B$8,$B$6+(A839-1)*($B$7-$B$6)/MAX(1,$B$8-1),NA())</f>
        <v>#N/A</v>
      </c>
      <c r="C839" s="9" t="e">
        <f>RADIANS(B839)</f>
        <v>#N/A</v>
      </c>
      <c r="D839" s="9" t="e">
        <f>($B$3+$B$4)*COS(C839)-$B$4*COS((($B$3+$B$4)/$B$4)*C839)</f>
        <v>#N/A</v>
      </c>
      <c r="E839" s="9" t="e">
        <f>($B$3+$B$4)*SIN(C839)-$B$4*SIN((($B$3+$B$4)/$B$4)*C839)</f>
        <v>#N/A</v>
      </c>
      <c r="F839" s="5"/>
      <c r="G839" s="5"/>
      <c r="H839" s="5"/>
    </row>
    <row r="840" spans="1:8" x14ac:dyDescent="0.3">
      <c r="A840" s="9">
        <f>ROW()-ROW($A$14)</f>
        <v>826</v>
      </c>
      <c r="B840" s="9" t="e">
        <f>IF(A840&lt;=$B$8,$B$6+(A840-1)*($B$7-$B$6)/MAX(1,$B$8-1),NA())</f>
        <v>#N/A</v>
      </c>
      <c r="C840" s="9" t="e">
        <f>RADIANS(B840)</f>
        <v>#N/A</v>
      </c>
      <c r="D840" s="9" t="e">
        <f>($B$3+$B$4)*COS(C840)-$B$4*COS((($B$3+$B$4)/$B$4)*C840)</f>
        <v>#N/A</v>
      </c>
      <c r="E840" s="9" t="e">
        <f>($B$3+$B$4)*SIN(C840)-$B$4*SIN((($B$3+$B$4)/$B$4)*C840)</f>
        <v>#N/A</v>
      </c>
      <c r="F840" s="5"/>
      <c r="G840" s="5"/>
      <c r="H840" s="5"/>
    </row>
    <row r="841" spans="1:8" x14ac:dyDescent="0.3">
      <c r="A841" s="9">
        <f>ROW()-ROW($A$14)</f>
        <v>827</v>
      </c>
      <c r="B841" s="9" t="e">
        <f>IF(A841&lt;=$B$8,$B$6+(A841-1)*($B$7-$B$6)/MAX(1,$B$8-1),NA())</f>
        <v>#N/A</v>
      </c>
      <c r="C841" s="9" t="e">
        <f>RADIANS(B841)</f>
        <v>#N/A</v>
      </c>
      <c r="D841" s="9" t="e">
        <f>($B$3+$B$4)*COS(C841)-$B$4*COS((($B$3+$B$4)/$B$4)*C841)</f>
        <v>#N/A</v>
      </c>
      <c r="E841" s="9" t="e">
        <f>($B$3+$B$4)*SIN(C841)-$B$4*SIN((($B$3+$B$4)/$B$4)*C841)</f>
        <v>#N/A</v>
      </c>
      <c r="F841" s="5"/>
      <c r="G841" s="5"/>
      <c r="H841" s="5"/>
    </row>
    <row r="842" spans="1:8" x14ac:dyDescent="0.3">
      <c r="A842" s="9">
        <f>ROW()-ROW($A$14)</f>
        <v>828</v>
      </c>
      <c r="B842" s="9" t="e">
        <f>IF(A842&lt;=$B$8,$B$6+(A842-1)*($B$7-$B$6)/MAX(1,$B$8-1),NA())</f>
        <v>#N/A</v>
      </c>
      <c r="C842" s="9" t="e">
        <f>RADIANS(B842)</f>
        <v>#N/A</v>
      </c>
      <c r="D842" s="9" t="e">
        <f>($B$3+$B$4)*COS(C842)-$B$4*COS((($B$3+$B$4)/$B$4)*C842)</f>
        <v>#N/A</v>
      </c>
      <c r="E842" s="9" t="e">
        <f>($B$3+$B$4)*SIN(C842)-$B$4*SIN((($B$3+$B$4)/$B$4)*C842)</f>
        <v>#N/A</v>
      </c>
      <c r="F842" s="5"/>
      <c r="G842" s="5"/>
      <c r="H842" s="5"/>
    </row>
    <row r="843" spans="1:8" x14ac:dyDescent="0.3">
      <c r="A843" s="9">
        <f>ROW()-ROW($A$14)</f>
        <v>829</v>
      </c>
      <c r="B843" s="9" t="e">
        <f>IF(A843&lt;=$B$8,$B$6+(A843-1)*($B$7-$B$6)/MAX(1,$B$8-1),NA())</f>
        <v>#N/A</v>
      </c>
      <c r="C843" s="9" t="e">
        <f>RADIANS(B843)</f>
        <v>#N/A</v>
      </c>
      <c r="D843" s="9" t="e">
        <f>($B$3+$B$4)*COS(C843)-$B$4*COS((($B$3+$B$4)/$B$4)*C843)</f>
        <v>#N/A</v>
      </c>
      <c r="E843" s="9" t="e">
        <f>($B$3+$B$4)*SIN(C843)-$B$4*SIN((($B$3+$B$4)/$B$4)*C843)</f>
        <v>#N/A</v>
      </c>
      <c r="F843" s="5"/>
      <c r="G843" s="5"/>
      <c r="H843" s="5"/>
    </row>
    <row r="844" spans="1:8" x14ac:dyDescent="0.3">
      <c r="A844" s="9">
        <f>ROW()-ROW($A$14)</f>
        <v>830</v>
      </c>
      <c r="B844" s="9" t="e">
        <f>IF(A844&lt;=$B$8,$B$6+(A844-1)*($B$7-$B$6)/MAX(1,$B$8-1),NA())</f>
        <v>#N/A</v>
      </c>
      <c r="C844" s="9" t="e">
        <f>RADIANS(B844)</f>
        <v>#N/A</v>
      </c>
      <c r="D844" s="9" t="e">
        <f>($B$3+$B$4)*COS(C844)-$B$4*COS((($B$3+$B$4)/$B$4)*C844)</f>
        <v>#N/A</v>
      </c>
      <c r="E844" s="9" t="e">
        <f>($B$3+$B$4)*SIN(C844)-$B$4*SIN((($B$3+$B$4)/$B$4)*C844)</f>
        <v>#N/A</v>
      </c>
      <c r="F844" s="5"/>
      <c r="G844" s="5"/>
      <c r="H844" s="5"/>
    </row>
    <row r="845" spans="1:8" x14ac:dyDescent="0.3">
      <c r="A845" s="9">
        <f>ROW()-ROW($A$14)</f>
        <v>831</v>
      </c>
      <c r="B845" s="9" t="e">
        <f>IF(A845&lt;=$B$8,$B$6+(A845-1)*($B$7-$B$6)/MAX(1,$B$8-1),NA())</f>
        <v>#N/A</v>
      </c>
      <c r="C845" s="9" t="e">
        <f>RADIANS(B845)</f>
        <v>#N/A</v>
      </c>
      <c r="D845" s="9" t="e">
        <f>($B$3+$B$4)*COS(C845)-$B$4*COS((($B$3+$B$4)/$B$4)*C845)</f>
        <v>#N/A</v>
      </c>
      <c r="E845" s="9" t="e">
        <f>($B$3+$B$4)*SIN(C845)-$B$4*SIN((($B$3+$B$4)/$B$4)*C845)</f>
        <v>#N/A</v>
      </c>
      <c r="F845" s="5"/>
      <c r="G845" s="5"/>
      <c r="H845" s="5"/>
    </row>
    <row r="846" spans="1:8" x14ac:dyDescent="0.3">
      <c r="A846" s="9">
        <f>ROW()-ROW($A$14)</f>
        <v>832</v>
      </c>
      <c r="B846" s="9" t="e">
        <f>IF(A846&lt;=$B$8,$B$6+(A846-1)*($B$7-$B$6)/MAX(1,$B$8-1),NA())</f>
        <v>#N/A</v>
      </c>
      <c r="C846" s="9" t="e">
        <f>RADIANS(B846)</f>
        <v>#N/A</v>
      </c>
      <c r="D846" s="9" t="e">
        <f>($B$3+$B$4)*COS(C846)-$B$4*COS((($B$3+$B$4)/$B$4)*C846)</f>
        <v>#N/A</v>
      </c>
      <c r="E846" s="9" t="e">
        <f>($B$3+$B$4)*SIN(C846)-$B$4*SIN((($B$3+$B$4)/$B$4)*C846)</f>
        <v>#N/A</v>
      </c>
      <c r="F846" s="5"/>
      <c r="G846" s="5"/>
      <c r="H846" s="5"/>
    </row>
    <row r="847" spans="1:8" x14ac:dyDescent="0.3">
      <c r="A847" s="9">
        <f>ROW()-ROW($A$14)</f>
        <v>833</v>
      </c>
      <c r="B847" s="9" t="e">
        <f>IF(A847&lt;=$B$8,$B$6+(A847-1)*($B$7-$B$6)/MAX(1,$B$8-1),NA())</f>
        <v>#N/A</v>
      </c>
      <c r="C847" s="9" t="e">
        <f>RADIANS(B847)</f>
        <v>#N/A</v>
      </c>
      <c r="D847" s="9" t="e">
        <f>($B$3+$B$4)*COS(C847)-$B$4*COS((($B$3+$B$4)/$B$4)*C847)</f>
        <v>#N/A</v>
      </c>
      <c r="E847" s="9" t="e">
        <f>($B$3+$B$4)*SIN(C847)-$B$4*SIN((($B$3+$B$4)/$B$4)*C847)</f>
        <v>#N/A</v>
      </c>
      <c r="F847" s="5"/>
      <c r="G847" s="5"/>
      <c r="H847" s="5"/>
    </row>
    <row r="848" spans="1:8" x14ac:dyDescent="0.3">
      <c r="A848" s="9">
        <f>ROW()-ROW($A$14)</f>
        <v>834</v>
      </c>
      <c r="B848" s="9" t="e">
        <f>IF(A848&lt;=$B$8,$B$6+(A848-1)*($B$7-$B$6)/MAX(1,$B$8-1),NA())</f>
        <v>#N/A</v>
      </c>
      <c r="C848" s="9" t="e">
        <f>RADIANS(B848)</f>
        <v>#N/A</v>
      </c>
      <c r="D848" s="9" t="e">
        <f>($B$3+$B$4)*COS(C848)-$B$4*COS((($B$3+$B$4)/$B$4)*C848)</f>
        <v>#N/A</v>
      </c>
      <c r="E848" s="9" t="e">
        <f>($B$3+$B$4)*SIN(C848)-$B$4*SIN((($B$3+$B$4)/$B$4)*C848)</f>
        <v>#N/A</v>
      </c>
      <c r="F848" s="5"/>
      <c r="G848" s="5"/>
      <c r="H848" s="5"/>
    </row>
    <row r="849" spans="1:8" x14ac:dyDescent="0.3">
      <c r="A849" s="9">
        <f>ROW()-ROW($A$14)</f>
        <v>835</v>
      </c>
      <c r="B849" s="9" t="e">
        <f>IF(A849&lt;=$B$8,$B$6+(A849-1)*($B$7-$B$6)/MAX(1,$B$8-1),NA())</f>
        <v>#N/A</v>
      </c>
      <c r="C849" s="9" t="e">
        <f>RADIANS(B849)</f>
        <v>#N/A</v>
      </c>
      <c r="D849" s="9" t="e">
        <f>($B$3+$B$4)*COS(C849)-$B$4*COS((($B$3+$B$4)/$B$4)*C849)</f>
        <v>#N/A</v>
      </c>
      <c r="E849" s="9" t="e">
        <f>($B$3+$B$4)*SIN(C849)-$B$4*SIN((($B$3+$B$4)/$B$4)*C849)</f>
        <v>#N/A</v>
      </c>
      <c r="F849" s="5"/>
      <c r="G849" s="5"/>
      <c r="H849" s="5"/>
    </row>
    <row r="850" spans="1:8" x14ac:dyDescent="0.3">
      <c r="A850" s="9">
        <f>ROW()-ROW($A$14)</f>
        <v>836</v>
      </c>
      <c r="B850" s="9" t="e">
        <f>IF(A850&lt;=$B$8,$B$6+(A850-1)*($B$7-$B$6)/MAX(1,$B$8-1),NA())</f>
        <v>#N/A</v>
      </c>
      <c r="C850" s="9" t="e">
        <f>RADIANS(B850)</f>
        <v>#N/A</v>
      </c>
      <c r="D850" s="9" t="e">
        <f>($B$3+$B$4)*COS(C850)-$B$4*COS((($B$3+$B$4)/$B$4)*C850)</f>
        <v>#N/A</v>
      </c>
      <c r="E850" s="9" t="e">
        <f>($B$3+$B$4)*SIN(C850)-$B$4*SIN((($B$3+$B$4)/$B$4)*C850)</f>
        <v>#N/A</v>
      </c>
      <c r="F850" s="5"/>
      <c r="G850" s="5"/>
      <c r="H850" s="5"/>
    </row>
    <row r="851" spans="1:8" x14ac:dyDescent="0.3">
      <c r="A851" s="9">
        <f>ROW()-ROW($A$14)</f>
        <v>837</v>
      </c>
      <c r="B851" s="9" t="e">
        <f>IF(A851&lt;=$B$8,$B$6+(A851-1)*($B$7-$B$6)/MAX(1,$B$8-1),NA())</f>
        <v>#N/A</v>
      </c>
      <c r="C851" s="9" t="e">
        <f>RADIANS(B851)</f>
        <v>#N/A</v>
      </c>
      <c r="D851" s="9" t="e">
        <f>($B$3+$B$4)*COS(C851)-$B$4*COS((($B$3+$B$4)/$B$4)*C851)</f>
        <v>#N/A</v>
      </c>
      <c r="E851" s="9" t="e">
        <f>($B$3+$B$4)*SIN(C851)-$B$4*SIN((($B$3+$B$4)/$B$4)*C851)</f>
        <v>#N/A</v>
      </c>
      <c r="F851" s="5"/>
      <c r="G851" s="5"/>
      <c r="H851" s="5"/>
    </row>
    <row r="852" spans="1:8" x14ac:dyDescent="0.3">
      <c r="A852" s="9">
        <f>ROW()-ROW($A$14)</f>
        <v>838</v>
      </c>
      <c r="B852" s="9" t="e">
        <f>IF(A852&lt;=$B$8,$B$6+(A852-1)*($B$7-$B$6)/MAX(1,$B$8-1),NA())</f>
        <v>#N/A</v>
      </c>
      <c r="C852" s="9" t="e">
        <f>RADIANS(B852)</f>
        <v>#N/A</v>
      </c>
      <c r="D852" s="9" t="e">
        <f>($B$3+$B$4)*COS(C852)-$B$4*COS((($B$3+$B$4)/$B$4)*C852)</f>
        <v>#N/A</v>
      </c>
      <c r="E852" s="9" t="e">
        <f>($B$3+$B$4)*SIN(C852)-$B$4*SIN((($B$3+$B$4)/$B$4)*C852)</f>
        <v>#N/A</v>
      </c>
      <c r="F852" s="5"/>
      <c r="G852" s="5"/>
      <c r="H852" s="5"/>
    </row>
    <row r="853" spans="1:8" x14ac:dyDescent="0.3">
      <c r="A853" s="9">
        <f>ROW()-ROW($A$14)</f>
        <v>839</v>
      </c>
      <c r="B853" s="9" t="e">
        <f>IF(A853&lt;=$B$8,$B$6+(A853-1)*($B$7-$B$6)/MAX(1,$B$8-1),NA())</f>
        <v>#N/A</v>
      </c>
      <c r="C853" s="9" t="e">
        <f>RADIANS(B853)</f>
        <v>#N/A</v>
      </c>
      <c r="D853" s="9" t="e">
        <f>($B$3+$B$4)*COS(C853)-$B$4*COS((($B$3+$B$4)/$B$4)*C853)</f>
        <v>#N/A</v>
      </c>
      <c r="E853" s="9" t="e">
        <f>($B$3+$B$4)*SIN(C853)-$B$4*SIN((($B$3+$B$4)/$B$4)*C853)</f>
        <v>#N/A</v>
      </c>
      <c r="F853" s="5"/>
      <c r="G853" s="5"/>
      <c r="H853" s="5"/>
    </row>
    <row r="854" spans="1:8" x14ac:dyDescent="0.3">
      <c r="A854" s="9">
        <f>ROW()-ROW($A$14)</f>
        <v>840</v>
      </c>
      <c r="B854" s="9" t="e">
        <f>IF(A854&lt;=$B$8,$B$6+(A854-1)*($B$7-$B$6)/MAX(1,$B$8-1),NA())</f>
        <v>#N/A</v>
      </c>
      <c r="C854" s="9" t="e">
        <f>RADIANS(B854)</f>
        <v>#N/A</v>
      </c>
      <c r="D854" s="9" t="e">
        <f>($B$3+$B$4)*COS(C854)-$B$4*COS((($B$3+$B$4)/$B$4)*C854)</f>
        <v>#N/A</v>
      </c>
      <c r="E854" s="9" t="e">
        <f>($B$3+$B$4)*SIN(C854)-$B$4*SIN((($B$3+$B$4)/$B$4)*C854)</f>
        <v>#N/A</v>
      </c>
      <c r="F854" s="5"/>
      <c r="G854" s="5"/>
      <c r="H854" s="5"/>
    </row>
    <row r="855" spans="1:8" x14ac:dyDescent="0.3">
      <c r="A855" s="9">
        <f>ROW()-ROW($A$14)</f>
        <v>841</v>
      </c>
      <c r="B855" s="9" t="e">
        <f>IF(A855&lt;=$B$8,$B$6+(A855-1)*($B$7-$B$6)/MAX(1,$B$8-1),NA())</f>
        <v>#N/A</v>
      </c>
      <c r="C855" s="9" t="e">
        <f>RADIANS(B855)</f>
        <v>#N/A</v>
      </c>
      <c r="D855" s="9" t="e">
        <f>($B$3+$B$4)*COS(C855)-$B$4*COS((($B$3+$B$4)/$B$4)*C855)</f>
        <v>#N/A</v>
      </c>
      <c r="E855" s="9" t="e">
        <f>($B$3+$B$4)*SIN(C855)-$B$4*SIN((($B$3+$B$4)/$B$4)*C855)</f>
        <v>#N/A</v>
      </c>
      <c r="F855" s="5"/>
      <c r="G855" s="5"/>
      <c r="H855" s="5"/>
    </row>
    <row r="856" spans="1:8" x14ac:dyDescent="0.3">
      <c r="A856" s="9">
        <f>ROW()-ROW($A$14)</f>
        <v>842</v>
      </c>
      <c r="B856" s="9" t="e">
        <f>IF(A856&lt;=$B$8,$B$6+(A856-1)*($B$7-$B$6)/MAX(1,$B$8-1),NA())</f>
        <v>#N/A</v>
      </c>
      <c r="C856" s="9" t="e">
        <f>RADIANS(B856)</f>
        <v>#N/A</v>
      </c>
      <c r="D856" s="9" t="e">
        <f>($B$3+$B$4)*COS(C856)-$B$4*COS((($B$3+$B$4)/$B$4)*C856)</f>
        <v>#N/A</v>
      </c>
      <c r="E856" s="9" t="e">
        <f>($B$3+$B$4)*SIN(C856)-$B$4*SIN((($B$3+$B$4)/$B$4)*C856)</f>
        <v>#N/A</v>
      </c>
      <c r="F856" s="5"/>
      <c r="G856" s="5"/>
      <c r="H856" s="5"/>
    </row>
    <row r="857" spans="1:8" x14ac:dyDescent="0.3">
      <c r="A857" s="9">
        <f>ROW()-ROW($A$14)</f>
        <v>843</v>
      </c>
      <c r="B857" s="9" t="e">
        <f>IF(A857&lt;=$B$8,$B$6+(A857-1)*($B$7-$B$6)/MAX(1,$B$8-1),NA())</f>
        <v>#N/A</v>
      </c>
      <c r="C857" s="9" t="e">
        <f>RADIANS(B857)</f>
        <v>#N/A</v>
      </c>
      <c r="D857" s="9" t="e">
        <f>($B$3+$B$4)*COS(C857)-$B$4*COS((($B$3+$B$4)/$B$4)*C857)</f>
        <v>#N/A</v>
      </c>
      <c r="E857" s="9" t="e">
        <f>($B$3+$B$4)*SIN(C857)-$B$4*SIN((($B$3+$B$4)/$B$4)*C857)</f>
        <v>#N/A</v>
      </c>
      <c r="F857" s="5"/>
      <c r="G857" s="5"/>
      <c r="H857" s="5"/>
    </row>
    <row r="858" spans="1:8" x14ac:dyDescent="0.3">
      <c r="A858" s="9">
        <f>ROW()-ROW($A$14)</f>
        <v>844</v>
      </c>
      <c r="B858" s="9" t="e">
        <f>IF(A858&lt;=$B$8,$B$6+(A858-1)*($B$7-$B$6)/MAX(1,$B$8-1),NA())</f>
        <v>#N/A</v>
      </c>
      <c r="C858" s="9" t="e">
        <f>RADIANS(B858)</f>
        <v>#N/A</v>
      </c>
      <c r="D858" s="9" t="e">
        <f>($B$3+$B$4)*COS(C858)-$B$4*COS((($B$3+$B$4)/$B$4)*C858)</f>
        <v>#N/A</v>
      </c>
      <c r="E858" s="9" t="e">
        <f>($B$3+$B$4)*SIN(C858)-$B$4*SIN((($B$3+$B$4)/$B$4)*C858)</f>
        <v>#N/A</v>
      </c>
      <c r="F858" s="5"/>
      <c r="G858" s="5"/>
      <c r="H858" s="5"/>
    </row>
    <row r="859" spans="1:8" x14ac:dyDescent="0.3">
      <c r="A859" s="9">
        <f>ROW()-ROW($A$14)</f>
        <v>845</v>
      </c>
      <c r="B859" s="9" t="e">
        <f>IF(A859&lt;=$B$8,$B$6+(A859-1)*($B$7-$B$6)/MAX(1,$B$8-1),NA())</f>
        <v>#N/A</v>
      </c>
      <c r="C859" s="9" t="e">
        <f>RADIANS(B859)</f>
        <v>#N/A</v>
      </c>
      <c r="D859" s="9" t="e">
        <f>($B$3+$B$4)*COS(C859)-$B$4*COS((($B$3+$B$4)/$B$4)*C859)</f>
        <v>#N/A</v>
      </c>
      <c r="E859" s="9" t="e">
        <f>($B$3+$B$4)*SIN(C859)-$B$4*SIN((($B$3+$B$4)/$B$4)*C859)</f>
        <v>#N/A</v>
      </c>
      <c r="F859" s="5"/>
      <c r="G859" s="5"/>
      <c r="H859" s="5"/>
    </row>
    <row r="860" spans="1:8" x14ac:dyDescent="0.3">
      <c r="A860" s="9">
        <f>ROW()-ROW($A$14)</f>
        <v>846</v>
      </c>
      <c r="B860" s="9" t="e">
        <f>IF(A860&lt;=$B$8,$B$6+(A860-1)*($B$7-$B$6)/MAX(1,$B$8-1),NA())</f>
        <v>#N/A</v>
      </c>
      <c r="C860" s="9" t="e">
        <f>RADIANS(B860)</f>
        <v>#N/A</v>
      </c>
      <c r="D860" s="9" t="e">
        <f>($B$3+$B$4)*COS(C860)-$B$4*COS((($B$3+$B$4)/$B$4)*C860)</f>
        <v>#N/A</v>
      </c>
      <c r="E860" s="9" t="e">
        <f>($B$3+$B$4)*SIN(C860)-$B$4*SIN((($B$3+$B$4)/$B$4)*C860)</f>
        <v>#N/A</v>
      </c>
      <c r="F860" s="5"/>
      <c r="G860" s="5"/>
      <c r="H860" s="5"/>
    </row>
    <row r="861" spans="1:8" x14ac:dyDescent="0.3">
      <c r="A861" s="9">
        <f>ROW()-ROW($A$14)</f>
        <v>847</v>
      </c>
      <c r="B861" s="9" t="e">
        <f>IF(A861&lt;=$B$8,$B$6+(A861-1)*($B$7-$B$6)/MAX(1,$B$8-1),NA())</f>
        <v>#N/A</v>
      </c>
      <c r="C861" s="9" t="e">
        <f>RADIANS(B861)</f>
        <v>#N/A</v>
      </c>
      <c r="D861" s="9" t="e">
        <f>($B$3+$B$4)*COS(C861)-$B$4*COS((($B$3+$B$4)/$B$4)*C861)</f>
        <v>#N/A</v>
      </c>
      <c r="E861" s="9" t="e">
        <f>($B$3+$B$4)*SIN(C861)-$B$4*SIN((($B$3+$B$4)/$B$4)*C861)</f>
        <v>#N/A</v>
      </c>
      <c r="F861" s="5"/>
      <c r="G861" s="5"/>
      <c r="H861" s="5"/>
    </row>
    <row r="862" spans="1:8" x14ac:dyDescent="0.3">
      <c r="A862" s="9">
        <f>ROW()-ROW($A$14)</f>
        <v>848</v>
      </c>
      <c r="B862" s="9" t="e">
        <f>IF(A862&lt;=$B$8,$B$6+(A862-1)*($B$7-$B$6)/MAX(1,$B$8-1),NA())</f>
        <v>#N/A</v>
      </c>
      <c r="C862" s="9" t="e">
        <f>RADIANS(B862)</f>
        <v>#N/A</v>
      </c>
      <c r="D862" s="9" t="e">
        <f>($B$3+$B$4)*COS(C862)-$B$4*COS((($B$3+$B$4)/$B$4)*C862)</f>
        <v>#N/A</v>
      </c>
      <c r="E862" s="9" t="e">
        <f>($B$3+$B$4)*SIN(C862)-$B$4*SIN((($B$3+$B$4)/$B$4)*C862)</f>
        <v>#N/A</v>
      </c>
      <c r="F862" s="5"/>
      <c r="G862" s="5"/>
      <c r="H862" s="5"/>
    </row>
    <row r="863" spans="1:8" x14ac:dyDescent="0.3">
      <c r="A863" s="9">
        <f>ROW()-ROW($A$14)</f>
        <v>849</v>
      </c>
      <c r="B863" s="9" t="e">
        <f>IF(A863&lt;=$B$8,$B$6+(A863-1)*($B$7-$B$6)/MAX(1,$B$8-1),NA())</f>
        <v>#N/A</v>
      </c>
      <c r="C863" s="9" t="e">
        <f>RADIANS(B863)</f>
        <v>#N/A</v>
      </c>
      <c r="D863" s="9" t="e">
        <f>($B$3+$B$4)*COS(C863)-$B$4*COS((($B$3+$B$4)/$B$4)*C863)</f>
        <v>#N/A</v>
      </c>
      <c r="E863" s="9" t="e">
        <f>($B$3+$B$4)*SIN(C863)-$B$4*SIN((($B$3+$B$4)/$B$4)*C863)</f>
        <v>#N/A</v>
      </c>
      <c r="F863" s="5"/>
      <c r="G863" s="5"/>
      <c r="H863" s="5"/>
    </row>
    <row r="864" spans="1:8" x14ac:dyDescent="0.3">
      <c r="A864" s="9">
        <f>ROW()-ROW($A$14)</f>
        <v>850</v>
      </c>
      <c r="B864" s="9" t="e">
        <f>IF(A864&lt;=$B$8,$B$6+(A864-1)*($B$7-$B$6)/MAX(1,$B$8-1),NA())</f>
        <v>#N/A</v>
      </c>
      <c r="C864" s="9" t="e">
        <f>RADIANS(B864)</f>
        <v>#N/A</v>
      </c>
      <c r="D864" s="9" t="e">
        <f>($B$3+$B$4)*COS(C864)-$B$4*COS((($B$3+$B$4)/$B$4)*C864)</f>
        <v>#N/A</v>
      </c>
      <c r="E864" s="9" t="e">
        <f>($B$3+$B$4)*SIN(C864)-$B$4*SIN((($B$3+$B$4)/$B$4)*C864)</f>
        <v>#N/A</v>
      </c>
      <c r="F864" s="5"/>
      <c r="G864" s="5"/>
      <c r="H864" s="5"/>
    </row>
    <row r="865" spans="1:8" x14ac:dyDescent="0.3">
      <c r="A865" s="9">
        <f>ROW()-ROW($A$14)</f>
        <v>851</v>
      </c>
      <c r="B865" s="9" t="e">
        <f>IF(A865&lt;=$B$8,$B$6+(A865-1)*($B$7-$B$6)/MAX(1,$B$8-1),NA())</f>
        <v>#N/A</v>
      </c>
      <c r="C865" s="9" t="e">
        <f>RADIANS(B865)</f>
        <v>#N/A</v>
      </c>
      <c r="D865" s="9" t="e">
        <f>($B$3+$B$4)*COS(C865)-$B$4*COS((($B$3+$B$4)/$B$4)*C865)</f>
        <v>#N/A</v>
      </c>
      <c r="E865" s="9" t="e">
        <f>($B$3+$B$4)*SIN(C865)-$B$4*SIN((($B$3+$B$4)/$B$4)*C865)</f>
        <v>#N/A</v>
      </c>
      <c r="F865" s="5"/>
      <c r="G865" s="5"/>
      <c r="H865" s="5"/>
    </row>
    <row r="866" spans="1:8" x14ac:dyDescent="0.3">
      <c r="A866" s="9">
        <f>ROW()-ROW($A$14)</f>
        <v>852</v>
      </c>
      <c r="B866" s="9" t="e">
        <f>IF(A866&lt;=$B$8,$B$6+(A866-1)*($B$7-$B$6)/MAX(1,$B$8-1),NA())</f>
        <v>#N/A</v>
      </c>
      <c r="C866" s="9" t="e">
        <f>RADIANS(B866)</f>
        <v>#N/A</v>
      </c>
      <c r="D866" s="9" t="e">
        <f>($B$3+$B$4)*COS(C866)-$B$4*COS((($B$3+$B$4)/$B$4)*C866)</f>
        <v>#N/A</v>
      </c>
      <c r="E866" s="9" t="e">
        <f>($B$3+$B$4)*SIN(C866)-$B$4*SIN((($B$3+$B$4)/$B$4)*C866)</f>
        <v>#N/A</v>
      </c>
      <c r="F866" s="5"/>
      <c r="G866" s="5"/>
      <c r="H866" s="5"/>
    </row>
    <row r="867" spans="1:8" x14ac:dyDescent="0.3">
      <c r="A867" s="9">
        <f>ROW()-ROW($A$14)</f>
        <v>853</v>
      </c>
      <c r="B867" s="9" t="e">
        <f>IF(A867&lt;=$B$8,$B$6+(A867-1)*($B$7-$B$6)/MAX(1,$B$8-1),NA())</f>
        <v>#N/A</v>
      </c>
      <c r="C867" s="9" t="e">
        <f>RADIANS(B867)</f>
        <v>#N/A</v>
      </c>
      <c r="D867" s="9" t="e">
        <f>($B$3+$B$4)*COS(C867)-$B$4*COS((($B$3+$B$4)/$B$4)*C867)</f>
        <v>#N/A</v>
      </c>
      <c r="E867" s="9" t="e">
        <f>($B$3+$B$4)*SIN(C867)-$B$4*SIN((($B$3+$B$4)/$B$4)*C867)</f>
        <v>#N/A</v>
      </c>
      <c r="F867" s="5"/>
      <c r="G867" s="5"/>
      <c r="H867" s="5"/>
    </row>
    <row r="868" spans="1:8" x14ac:dyDescent="0.3">
      <c r="A868" s="9">
        <f>ROW()-ROW($A$14)</f>
        <v>854</v>
      </c>
      <c r="B868" s="9" t="e">
        <f>IF(A868&lt;=$B$8,$B$6+(A868-1)*($B$7-$B$6)/MAX(1,$B$8-1),NA())</f>
        <v>#N/A</v>
      </c>
      <c r="C868" s="9" t="e">
        <f>RADIANS(B868)</f>
        <v>#N/A</v>
      </c>
      <c r="D868" s="9" t="e">
        <f>($B$3+$B$4)*COS(C868)-$B$4*COS((($B$3+$B$4)/$B$4)*C868)</f>
        <v>#N/A</v>
      </c>
      <c r="E868" s="9" t="e">
        <f>($B$3+$B$4)*SIN(C868)-$B$4*SIN((($B$3+$B$4)/$B$4)*C868)</f>
        <v>#N/A</v>
      </c>
      <c r="F868" s="5"/>
      <c r="G868" s="5"/>
      <c r="H868" s="5"/>
    </row>
    <row r="869" spans="1:8" x14ac:dyDescent="0.3">
      <c r="A869" s="9">
        <f>ROW()-ROW($A$14)</f>
        <v>855</v>
      </c>
      <c r="B869" s="9" t="e">
        <f>IF(A869&lt;=$B$8,$B$6+(A869-1)*($B$7-$B$6)/MAX(1,$B$8-1),NA())</f>
        <v>#N/A</v>
      </c>
      <c r="C869" s="9" t="e">
        <f>RADIANS(B869)</f>
        <v>#N/A</v>
      </c>
      <c r="D869" s="9" t="e">
        <f>($B$3+$B$4)*COS(C869)-$B$4*COS((($B$3+$B$4)/$B$4)*C869)</f>
        <v>#N/A</v>
      </c>
      <c r="E869" s="9" t="e">
        <f>($B$3+$B$4)*SIN(C869)-$B$4*SIN((($B$3+$B$4)/$B$4)*C869)</f>
        <v>#N/A</v>
      </c>
      <c r="F869" s="5"/>
      <c r="G869" s="5"/>
      <c r="H869" s="5"/>
    </row>
    <row r="870" spans="1:8" x14ac:dyDescent="0.3">
      <c r="A870" s="9">
        <f>ROW()-ROW($A$14)</f>
        <v>856</v>
      </c>
      <c r="B870" s="9" t="e">
        <f>IF(A870&lt;=$B$8,$B$6+(A870-1)*($B$7-$B$6)/MAX(1,$B$8-1),NA())</f>
        <v>#N/A</v>
      </c>
      <c r="C870" s="9" t="e">
        <f>RADIANS(B870)</f>
        <v>#N/A</v>
      </c>
      <c r="D870" s="9" t="e">
        <f>($B$3+$B$4)*COS(C870)-$B$4*COS((($B$3+$B$4)/$B$4)*C870)</f>
        <v>#N/A</v>
      </c>
      <c r="E870" s="9" t="e">
        <f>($B$3+$B$4)*SIN(C870)-$B$4*SIN((($B$3+$B$4)/$B$4)*C870)</f>
        <v>#N/A</v>
      </c>
      <c r="F870" s="5"/>
      <c r="G870" s="5"/>
      <c r="H870" s="5"/>
    </row>
    <row r="871" spans="1:8" x14ac:dyDescent="0.3">
      <c r="A871" s="9">
        <f>ROW()-ROW($A$14)</f>
        <v>857</v>
      </c>
      <c r="B871" s="9" t="e">
        <f>IF(A871&lt;=$B$8,$B$6+(A871-1)*($B$7-$B$6)/MAX(1,$B$8-1),NA())</f>
        <v>#N/A</v>
      </c>
      <c r="C871" s="9" t="e">
        <f>RADIANS(B871)</f>
        <v>#N/A</v>
      </c>
      <c r="D871" s="9" t="e">
        <f>($B$3+$B$4)*COS(C871)-$B$4*COS((($B$3+$B$4)/$B$4)*C871)</f>
        <v>#N/A</v>
      </c>
      <c r="E871" s="9" t="e">
        <f>($B$3+$B$4)*SIN(C871)-$B$4*SIN((($B$3+$B$4)/$B$4)*C871)</f>
        <v>#N/A</v>
      </c>
      <c r="F871" s="5"/>
      <c r="G871" s="5"/>
      <c r="H871" s="5"/>
    </row>
    <row r="872" spans="1:8" x14ac:dyDescent="0.3">
      <c r="A872" s="9">
        <f>ROW()-ROW($A$14)</f>
        <v>858</v>
      </c>
      <c r="B872" s="9" t="e">
        <f>IF(A872&lt;=$B$8,$B$6+(A872-1)*($B$7-$B$6)/MAX(1,$B$8-1),NA())</f>
        <v>#N/A</v>
      </c>
      <c r="C872" s="9" t="e">
        <f>RADIANS(B872)</f>
        <v>#N/A</v>
      </c>
      <c r="D872" s="9" t="e">
        <f>($B$3+$B$4)*COS(C872)-$B$4*COS((($B$3+$B$4)/$B$4)*C872)</f>
        <v>#N/A</v>
      </c>
      <c r="E872" s="9" t="e">
        <f>($B$3+$B$4)*SIN(C872)-$B$4*SIN((($B$3+$B$4)/$B$4)*C872)</f>
        <v>#N/A</v>
      </c>
      <c r="F872" s="5"/>
      <c r="G872" s="5"/>
      <c r="H872" s="5"/>
    </row>
    <row r="873" spans="1:8" x14ac:dyDescent="0.3">
      <c r="A873" s="9">
        <f>ROW()-ROW($A$14)</f>
        <v>859</v>
      </c>
      <c r="B873" s="9" t="e">
        <f>IF(A873&lt;=$B$8,$B$6+(A873-1)*($B$7-$B$6)/MAX(1,$B$8-1),NA())</f>
        <v>#N/A</v>
      </c>
      <c r="C873" s="9" t="e">
        <f>RADIANS(B873)</f>
        <v>#N/A</v>
      </c>
      <c r="D873" s="9" t="e">
        <f>($B$3+$B$4)*COS(C873)-$B$4*COS((($B$3+$B$4)/$B$4)*C873)</f>
        <v>#N/A</v>
      </c>
      <c r="E873" s="9" t="e">
        <f>($B$3+$B$4)*SIN(C873)-$B$4*SIN((($B$3+$B$4)/$B$4)*C873)</f>
        <v>#N/A</v>
      </c>
      <c r="F873" s="5"/>
      <c r="G873" s="5"/>
      <c r="H873" s="5"/>
    </row>
    <row r="874" spans="1:8" x14ac:dyDescent="0.3">
      <c r="A874" s="9">
        <f>ROW()-ROW($A$14)</f>
        <v>860</v>
      </c>
      <c r="B874" s="9" t="e">
        <f>IF(A874&lt;=$B$8,$B$6+(A874-1)*($B$7-$B$6)/MAX(1,$B$8-1),NA())</f>
        <v>#N/A</v>
      </c>
      <c r="C874" s="9" t="e">
        <f>RADIANS(B874)</f>
        <v>#N/A</v>
      </c>
      <c r="D874" s="9" t="e">
        <f>($B$3+$B$4)*COS(C874)-$B$4*COS((($B$3+$B$4)/$B$4)*C874)</f>
        <v>#N/A</v>
      </c>
      <c r="E874" s="9" t="e">
        <f>($B$3+$B$4)*SIN(C874)-$B$4*SIN((($B$3+$B$4)/$B$4)*C874)</f>
        <v>#N/A</v>
      </c>
      <c r="F874" s="5"/>
      <c r="G874" s="5"/>
      <c r="H874" s="5"/>
    </row>
    <row r="875" spans="1:8" x14ac:dyDescent="0.3">
      <c r="A875" s="9">
        <f>ROW()-ROW($A$14)</f>
        <v>861</v>
      </c>
      <c r="B875" s="9" t="e">
        <f>IF(A875&lt;=$B$8,$B$6+(A875-1)*($B$7-$B$6)/MAX(1,$B$8-1),NA())</f>
        <v>#N/A</v>
      </c>
      <c r="C875" s="9" t="e">
        <f>RADIANS(B875)</f>
        <v>#N/A</v>
      </c>
      <c r="D875" s="9" t="e">
        <f>($B$3+$B$4)*COS(C875)-$B$4*COS((($B$3+$B$4)/$B$4)*C875)</f>
        <v>#N/A</v>
      </c>
      <c r="E875" s="9" t="e">
        <f>($B$3+$B$4)*SIN(C875)-$B$4*SIN((($B$3+$B$4)/$B$4)*C875)</f>
        <v>#N/A</v>
      </c>
      <c r="F875" s="5"/>
      <c r="G875" s="5"/>
      <c r="H875" s="5"/>
    </row>
    <row r="876" spans="1:8" x14ac:dyDescent="0.3">
      <c r="A876" s="9">
        <f>ROW()-ROW($A$14)</f>
        <v>862</v>
      </c>
      <c r="B876" s="9" t="e">
        <f>IF(A876&lt;=$B$8,$B$6+(A876-1)*($B$7-$B$6)/MAX(1,$B$8-1),NA())</f>
        <v>#N/A</v>
      </c>
      <c r="C876" s="9" t="e">
        <f>RADIANS(B876)</f>
        <v>#N/A</v>
      </c>
      <c r="D876" s="9" t="e">
        <f>($B$3+$B$4)*COS(C876)-$B$4*COS((($B$3+$B$4)/$B$4)*C876)</f>
        <v>#N/A</v>
      </c>
      <c r="E876" s="9" t="e">
        <f>($B$3+$B$4)*SIN(C876)-$B$4*SIN((($B$3+$B$4)/$B$4)*C876)</f>
        <v>#N/A</v>
      </c>
      <c r="F876" s="5"/>
      <c r="G876" s="5"/>
      <c r="H876" s="5"/>
    </row>
    <row r="877" spans="1:8" x14ac:dyDescent="0.3">
      <c r="A877" s="9">
        <f>ROW()-ROW($A$14)</f>
        <v>863</v>
      </c>
      <c r="B877" s="9" t="e">
        <f>IF(A877&lt;=$B$8,$B$6+(A877-1)*($B$7-$B$6)/MAX(1,$B$8-1),NA())</f>
        <v>#N/A</v>
      </c>
      <c r="C877" s="9" t="e">
        <f>RADIANS(B877)</f>
        <v>#N/A</v>
      </c>
      <c r="D877" s="9" t="e">
        <f>($B$3+$B$4)*COS(C877)-$B$4*COS((($B$3+$B$4)/$B$4)*C877)</f>
        <v>#N/A</v>
      </c>
      <c r="E877" s="9" t="e">
        <f>($B$3+$B$4)*SIN(C877)-$B$4*SIN((($B$3+$B$4)/$B$4)*C877)</f>
        <v>#N/A</v>
      </c>
      <c r="F877" s="5"/>
      <c r="G877" s="5"/>
      <c r="H877" s="5"/>
    </row>
    <row r="878" spans="1:8" x14ac:dyDescent="0.3">
      <c r="A878" s="9">
        <f>ROW()-ROW($A$14)</f>
        <v>864</v>
      </c>
      <c r="B878" s="9" t="e">
        <f>IF(A878&lt;=$B$8,$B$6+(A878-1)*($B$7-$B$6)/MAX(1,$B$8-1),NA())</f>
        <v>#N/A</v>
      </c>
      <c r="C878" s="9" t="e">
        <f>RADIANS(B878)</f>
        <v>#N/A</v>
      </c>
      <c r="D878" s="9" t="e">
        <f>($B$3+$B$4)*COS(C878)-$B$4*COS((($B$3+$B$4)/$B$4)*C878)</f>
        <v>#N/A</v>
      </c>
      <c r="E878" s="9" t="e">
        <f>($B$3+$B$4)*SIN(C878)-$B$4*SIN((($B$3+$B$4)/$B$4)*C878)</f>
        <v>#N/A</v>
      </c>
      <c r="F878" s="5"/>
      <c r="G878" s="5"/>
      <c r="H878" s="5"/>
    </row>
    <row r="879" spans="1:8" x14ac:dyDescent="0.3">
      <c r="A879" s="9">
        <f>ROW()-ROW($A$14)</f>
        <v>865</v>
      </c>
      <c r="B879" s="9" t="e">
        <f>IF(A879&lt;=$B$8,$B$6+(A879-1)*($B$7-$B$6)/MAX(1,$B$8-1),NA())</f>
        <v>#N/A</v>
      </c>
      <c r="C879" s="9" t="e">
        <f>RADIANS(B879)</f>
        <v>#N/A</v>
      </c>
      <c r="D879" s="9" t="e">
        <f>($B$3+$B$4)*COS(C879)-$B$4*COS((($B$3+$B$4)/$B$4)*C879)</f>
        <v>#N/A</v>
      </c>
      <c r="E879" s="9" t="e">
        <f>($B$3+$B$4)*SIN(C879)-$B$4*SIN((($B$3+$B$4)/$B$4)*C879)</f>
        <v>#N/A</v>
      </c>
      <c r="F879" s="5"/>
      <c r="G879" s="5"/>
      <c r="H879" s="5"/>
    </row>
    <row r="880" spans="1:8" x14ac:dyDescent="0.3">
      <c r="A880" s="9">
        <f>ROW()-ROW($A$14)</f>
        <v>866</v>
      </c>
      <c r="B880" s="9" t="e">
        <f>IF(A880&lt;=$B$8,$B$6+(A880-1)*($B$7-$B$6)/MAX(1,$B$8-1),NA())</f>
        <v>#N/A</v>
      </c>
      <c r="C880" s="9" t="e">
        <f>RADIANS(B880)</f>
        <v>#N/A</v>
      </c>
      <c r="D880" s="9" t="e">
        <f>($B$3+$B$4)*COS(C880)-$B$4*COS((($B$3+$B$4)/$B$4)*C880)</f>
        <v>#N/A</v>
      </c>
      <c r="E880" s="9" t="e">
        <f>($B$3+$B$4)*SIN(C880)-$B$4*SIN((($B$3+$B$4)/$B$4)*C880)</f>
        <v>#N/A</v>
      </c>
      <c r="F880" s="5"/>
      <c r="G880" s="5"/>
      <c r="H880" s="5"/>
    </row>
    <row r="881" spans="1:8" x14ac:dyDescent="0.3">
      <c r="A881" s="9">
        <f>ROW()-ROW($A$14)</f>
        <v>867</v>
      </c>
      <c r="B881" s="9" t="e">
        <f>IF(A881&lt;=$B$8,$B$6+(A881-1)*($B$7-$B$6)/MAX(1,$B$8-1),NA())</f>
        <v>#N/A</v>
      </c>
      <c r="C881" s="9" t="e">
        <f>RADIANS(B881)</f>
        <v>#N/A</v>
      </c>
      <c r="D881" s="9" t="e">
        <f>($B$3+$B$4)*COS(C881)-$B$4*COS((($B$3+$B$4)/$B$4)*C881)</f>
        <v>#N/A</v>
      </c>
      <c r="E881" s="9" t="e">
        <f>($B$3+$B$4)*SIN(C881)-$B$4*SIN((($B$3+$B$4)/$B$4)*C881)</f>
        <v>#N/A</v>
      </c>
      <c r="F881" s="5"/>
      <c r="G881" s="5"/>
      <c r="H881" s="5"/>
    </row>
    <row r="882" spans="1:8" x14ac:dyDescent="0.3">
      <c r="A882" s="9">
        <f>ROW()-ROW($A$14)</f>
        <v>868</v>
      </c>
      <c r="B882" s="9" t="e">
        <f>IF(A882&lt;=$B$8,$B$6+(A882-1)*($B$7-$B$6)/MAX(1,$B$8-1),NA())</f>
        <v>#N/A</v>
      </c>
      <c r="C882" s="9" t="e">
        <f>RADIANS(B882)</f>
        <v>#N/A</v>
      </c>
      <c r="D882" s="9" t="e">
        <f>($B$3+$B$4)*COS(C882)-$B$4*COS((($B$3+$B$4)/$B$4)*C882)</f>
        <v>#N/A</v>
      </c>
      <c r="E882" s="9" t="e">
        <f>($B$3+$B$4)*SIN(C882)-$B$4*SIN((($B$3+$B$4)/$B$4)*C882)</f>
        <v>#N/A</v>
      </c>
      <c r="F882" s="5"/>
      <c r="G882" s="5"/>
      <c r="H882" s="5"/>
    </row>
    <row r="883" spans="1:8" x14ac:dyDescent="0.3">
      <c r="A883" s="9">
        <f>ROW()-ROW($A$14)</f>
        <v>869</v>
      </c>
      <c r="B883" s="9" t="e">
        <f>IF(A883&lt;=$B$8,$B$6+(A883-1)*($B$7-$B$6)/MAX(1,$B$8-1),NA())</f>
        <v>#N/A</v>
      </c>
      <c r="C883" s="9" t="e">
        <f>RADIANS(B883)</f>
        <v>#N/A</v>
      </c>
      <c r="D883" s="9" t="e">
        <f>($B$3+$B$4)*COS(C883)-$B$4*COS((($B$3+$B$4)/$B$4)*C883)</f>
        <v>#N/A</v>
      </c>
      <c r="E883" s="9" t="e">
        <f>($B$3+$B$4)*SIN(C883)-$B$4*SIN((($B$3+$B$4)/$B$4)*C883)</f>
        <v>#N/A</v>
      </c>
      <c r="F883" s="5"/>
      <c r="G883" s="5"/>
      <c r="H883" s="5"/>
    </row>
    <row r="884" spans="1:8" x14ac:dyDescent="0.3">
      <c r="A884" s="9">
        <f>ROW()-ROW($A$14)</f>
        <v>870</v>
      </c>
      <c r="B884" s="9" t="e">
        <f>IF(A884&lt;=$B$8,$B$6+(A884-1)*($B$7-$B$6)/MAX(1,$B$8-1),NA())</f>
        <v>#N/A</v>
      </c>
      <c r="C884" s="9" t="e">
        <f>RADIANS(B884)</f>
        <v>#N/A</v>
      </c>
      <c r="D884" s="9" t="e">
        <f>($B$3+$B$4)*COS(C884)-$B$4*COS((($B$3+$B$4)/$B$4)*C884)</f>
        <v>#N/A</v>
      </c>
      <c r="E884" s="9" t="e">
        <f>($B$3+$B$4)*SIN(C884)-$B$4*SIN((($B$3+$B$4)/$B$4)*C884)</f>
        <v>#N/A</v>
      </c>
      <c r="F884" s="5"/>
      <c r="G884" s="5"/>
      <c r="H884" s="5"/>
    </row>
    <row r="885" spans="1:8" x14ac:dyDescent="0.3">
      <c r="A885" s="9">
        <f>ROW()-ROW($A$14)</f>
        <v>871</v>
      </c>
      <c r="B885" s="9" t="e">
        <f>IF(A885&lt;=$B$8,$B$6+(A885-1)*($B$7-$B$6)/MAX(1,$B$8-1),NA())</f>
        <v>#N/A</v>
      </c>
      <c r="C885" s="9" t="e">
        <f>RADIANS(B885)</f>
        <v>#N/A</v>
      </c>
      <c r="D885" s="9" t="e">
        <f>($B$3+$B$4)*COS(C885)-$B$4*COS((($B$3+$B$4)/$B$4)*C885)</f>
        <v>#N/A</v>
      </c>
      <c r="E885" s="9" t="e">
        <f>($B$3+$B$4)*SIN(C885)-$B$4*SIN((($B$3+$B$4)/$B$4)*C885)</f>
        <v>#N/A</v>
      </c>
      <c r="F885" s="5"/>
      <c r="G885" s="5"/>
      <c r="H885" s="5"/>
    </row>
    <row r="886" spans="1:8" x14ac:dyDescent="0.3">
      <c r="A886" s="9">
        <f>ROW()-ROW($A$14)</f>
        <v>872</v>
      </c>
      <c r="B886" s="9" t="e">
        <f>IF(A886&lt;=$B$8,$B$6+(A886-1)*($B$7-$B$6)/MAX(1,$B$8-1),NA())</f>
        <v>#N/A</v>
      </c>
      <c r="C886" s="9" t="e">
        <f>RADIANS(B886)</f>
        <v>#N/A</v>
      </c>
      <c r="D886" s="9" t="e">
        <f>($B$3+$B$4)*COS(C886)-$B$4*COS((($B$3+$B$4)/$B$4)*C886)</f>
        <v>#N/A</v>
      </c>
      <c r="E886" s="9" t="e">
        <f>($B$3+$B$4)*SIN(C886)-$B$4*SIN((($B$3+$B$4)/$B$4)*C886)</f>
        <v>#N/A</v>
      </c>
      <c r="F886" s="5"/>
      <c r="G886" s="5"/>
      <c r="H886" s="5"/>
    </row>
    <row r="887" spans="1:8" x14ac:dyDescent="0.3">
      <c r="A887" s="9">
        <f>ROW()-ROW($A$14)</f>
        <v>873</v>
      </c>
      <c r="B887" s="9" t="e">
        <f>IF(A887&lt;=$B$8,$B$6+(A887-1)*($B$7-$B$6)/MAX(1,$B$8-1),NA())</f>
        <v>#N/A</v>
      </c>
      <c r="C887" s="9" t="e">
        <f>RADIANS(B887)</f>
        <v>#N/A</v>
      </c>
      <c r="D887" s="9" t="e">
        <f>($B$3+$B$4)*COS(C887)-$B$4*COS((($B$3+$B$4)/$B$4)*C887)</f>
        <v>#N/A</v>
      </c>
      <c r="E887" s="9" t="e">
        <f>($B$3+$B$4)*SIN(C887)-$B$4*SIN((($B$3+$B$4)/$B$4)*C887)</f>
        <v>#N/A</v>
      </c>
      <c r="F887" s="5"/>
      <c r="G887" s="5"/>
      <c r="H887" s="5"/>
    </row>
    <row r="888" spans="1:8" x14ac:dyDescent="0.3">
      <c r="A888" s="9">
        <f>ROW()-ROW($A$14)</f>
        <v>874</v>
      </c>
      <c r="B888" s="9" t="e">
        <f>IF(A888&lt;=$B$8,$B$6+(A888-1)*($B$7-$B$6)/MAX(1,$B$8-1),NA())</f>
        <v>#N/A</v>
      </c>
      <c r="C888" s="9" t="e">
        <f>RADIANS(B888)</f>
        <v>#N/A</v>
      </c>
      <c r="D888" s="9" t="e">
        <f>($B$3+$B$4)*COS(C888)-$B$4*COS((($B$3+$B$4)/$B$4)*C888)</f>
        <v>#N/A</v>
      </c>
      <c r="E888" s="9" t="e">
        <f>($B$3+$B$4)*SIN(C888)-$B$4*SIN((($B$3+$B$4)/$B$4)*C888)</f>
        <v>#N/A</v>
      </c>
      <c r="F888" s="5"/>
      <c r="G888" s="5"/>
      <c r="H888" s="5"/>
    </row>
    <row r="889" spans="1:8" x14ac:dyDescent="0.3">
      <c r="A889" s="9">
        <f>ROW()-ROW($A$14)</f>
        <v>875</v>
      </c>
      <c r="B889" s="9" t="e">
        <f>IF(A889&lt;=$B$8,$B$6+(A889-1)*($B$7-$B$6)/MAX(1,$B$8-1),NA())</f>
        <v>#N/A</v>
      </c>
      <c r="C889" s="9" t="e">
        <f>RADIANS(B889)</f>
        <v>#N/A</v>
      </c>
      <c r="D889" s="9" t="e">
        <f>($B$3+$B$4)*COS(C889)-$B$4*COS((($B$3+$B$4)/$B$4)*C889)</f>
        <v>#N/A</v>
      </c>
      <c r="E889" s="9" t="e">
        <f>($B$3+$B$4)*SIN(C889)-$B$4*SIN((($B$3+$B$4)/$B$4)*C889)</f>
        <v>#N/A</v>
      </c>
      <c r="F889" s="5"/>
      <c r="G889" s="5"/>
      <c r="H889" s="5"/>
    </row>
    <row r="890" spans="1:8" x14ac:dyDescent="0.3">
      <c r="A890" s="9">
        <f>ROW()-ROW($A$14)</f>
        <v>876</v>
      </c>
      <c r="B890" s="9" t="e">
        <f>IF(A890&lt;=$B$8,$B$6+(A890-1)*($B$7-$B$6)/MAX(1,$B$8-1),NA())</f>
        <v>#N/A</v>
      </c>
      <c r="C890" s="9" t="e">
        <f>RADIANS(B890)</f>
        <v>#N/A</v>
      </c>
      <c r="D890" s="9" t="e">
        <f>($B$3+$B$4)*COS(C890)-$B$4*COS((($B$3+$B$4)/$B$4)*C890)</f>
        <v>#N/A</v>
      </c>
      <c r="E890" s="9" t="e">
        <f>($B$3+$B$4)*SIN(C890)-$B$4*SIN((($B$3+$B$4)/$B$4)*C890)</f>
        <v>#N/A</v>
      </c>
      <c r="F890" s="5"/>
      <c r="G890" s="5"/>
      <c r="H890" s="5"/>
    </row>
    <row r="891" spans="1:8" x14ac:dyDescent="0.3">
      <c r="A891" s="9">
        <f>ROW()-ROW($A$14)</f>
        <v>877</v>
      </c>
      <c r="B891" s="9" t="e">
        <f>IF(A891&lt;=$B$8,$B$6+(A891-1)*($B$7-$B$6)/MAX(1,$B$8-1),NA())</f>
        <v>#N/A</v>
      </c>
      <c r="C891" s="9" t="e">
        <f>RADIANS(B891)</f>
        <v>#N/A</v>
      </c>
      <c r="D891" s="9" t="e">
        <f>($B$3+$B$4)*COS(C891)-$B$4*COS((($B$3+$B$4)/$B$4)*C891)</f>
        <v>#N/A</v>
      </c>
      <c r="E891" s="9" t="e">
        <f>($B$3+$B$4)*SIN(C891)-$B$4*SIN((($B$3+$B$4)/$B$4)*C891)</f>
        <v>#N/A</v>
      </c>
      <c r="F891" s="5"/>
      <c r="G891" s="5"/>
      <c r="H891" s="5"/>
    </row>
    <row r="892" spans="1:8" x14ac:dyDescent="0.3">
      <c r="A892" s="9">
        <f>ROW()-ROW($A$14)</f>
        <v>878</v>
      </c>
      <c r="B892" s="9" t="e">
        <f>IF(A892&lt;=$B$8,$B$6+(A892-1)*($B$7-$B$6)/MAX(1,$B$8-1),NA())</f>
        <v>#N/A</v>
      </c>
      <c r="C892" s="9" t="e">
        <f>RADIANS(B892)</f>
        <v>#N/A</v>
      </c>
      <c r="D892" s="9" t="e">
        <f>($B$3+$B$4)*COS(C892)-$B$4*COS((($B$3+$B$4)/$B$4)*C892)</f>
        <v>#N/A</v>
      </c>
      <c r="E892" s="9" t="e">
        <f>($B$3+$B$4)*SIN(C892)-$B$4*SIN((($B$3+$B$4)/$B$4)*C892)</f>
        <v>#N/A</v>
      </c>
      <c r="F892" s="5"/>
      <c r="G892" s="5"/>
      <c r="H892" s="5"/>
    </row>
    <row r="893" spans="1:8" x14ac:dyDescent="0.3">
      <c r="A893" s="9">
        <f>ROW()-ROW($A$14)</f>
        <v>879</v>
      </c>
      <c r="B893" s="9" t="e">
        <f>IF(A893&lt;=$B$8,$B$6+(A893-1)*($B$7-$B$6)/MAX(1,$B$8-1),NA())</f>
        <v>#N/A</v>
      </c>
      <c r="C893" s="9" t="e">
        <f>RADIANS(B893)</f>
        <v>#N/A</v>
      </c>
      <c r="D893" s="9" t="e">
        <f>($B$3+$B$4)*COS(C893)-$B$4*COS((($B$3+$B$4)/$B$4)*C893)</f>
        <v>#N/A</v>
      </c>
      <c r="E893" s="9" t="e">
        <f>($B$3+$B$4)*SIN(C893)-$B$4*SIN((($B$3+$B$4)/$B$4)*C893)</f>
        <v>#N/A</v>
      </c>
      <c r="F893" s="5"/>
      <c r="G893" s="5"/>
      <c r="H893" s="5"/>
    </row>
    <row r="894" spans="1:8" x14ac:dyDescent="0.3">
      <c r="A894" s="9">
        <f>ROW()-ROW($A$14)</f>
        <v>880</v>
      </c>
      <c r="B894" s="9" t="e">
        <f>IF(A894&lt;=$B$8,$B$6+(A894-1)*($B$7-$B$6)/MAX(1,$B$8-1),NA())</f>
        <v>#N/A</v>
      </c>
      <c r="C894" s="9" t="e">
        <f>RADIANS(B894)</f>
        <v>#N/A</v>
      </c>
      <c r="D894" s="9" t="e">
        <f>($B$3+$B$4)*COS(C894)-$B$4*COS((($B$3+$B$4)/$B$4)*C894)</f>
        <v>#N/A</v>
      </c>
      <c r="E894" s="9" t="e">
        <f>($B$3+$B$4)*SIN(C894)-$B$4*SIN((($B$3+$B$4)/$B$4)*C894)</f>
        <v>#N/A</v>
      </c>
      <c r="F894" s="5"/>
      <c r="G894" s="5"/>
      <c r="H894" s="5"/>
    </row>
    <row r="895" spans="1:8" x14ac:dyDescent="0.3">
      <c r="A895" s="9">
        <f>ROW()-ROW($A$14)</f>
        <v>881</v>
      </c>
      <c r="B895" s="9" t="e">
        <f>IF(A895&lt;=$B$8,$B$6+(A895-1)*($B$7-$B$6)/MAX(1,$B$8-1),NA())</f>
        <v>#N/A</v>
      </c>
      <c r="C895" s="9" t="e">
        <f>RADIANS(B895)</f>
        <v>#N/A</v>
      </c>
      <c r="D895" s="9" t="e">
        <f>($B$3+$B$4)*COS(C895)-$B$4*COS((($B$3+$B$4)/$B$4)*C895)</f>
        <v>#N/A</v>
      </c>
      <c r="E895" s="9" t="e">
        <f>($B$3+$B$4)*SIN(C895)-$B$4*SIN((($B$3+$B$4)/$B$4)*C895)</f>
        <v>#N/A</v>
      </c>
      <c r="F895" s="5"/>
      <c r="G895" s="5"/>
      <c r="H895" s="5"/>
    </row>
    <row r="896" spans="1:8" x14ac:dyDescent="0.3">
      <c r="A896" s="9">
        <f>ROW()-ROW($A$14)</f>
        <v>882</v>
      </c>
      <c r="B896" s="9" t="e">
        <f>IF(A896&lt;=$B$8,$B$6+(A896-1)*($B$7-$B$6)/MAX(1,$B$8-1),NA())</f>
        <v>#N/A</v>
      </c>
      <c r="C896" s="9" t="e">
        <f>RADIANS(B896)</f>
        <v>#N/A</v>
      </c>
      <c r="D896" s="9" t="e">
        <f>($B$3+$B$4)*COS(C896)-$B$4*COS((($B$3+$B$4)/$B$4)*C896)</f>
        <v>#N/A</v>
      </c>
      <c r="E896" s="9" t="e">
        <f>($B$3+$B$4)*SIN(C896)-$B$4*SIN((($B$3+$B$4)/$B$4)*C896)</f>
        <v>#N/A</v>
      </c>
      <c r="F896" s="5"/>
      <c r="G896" s="5"/>
      <c r="H896" s="5"/>
    </row>
    <row r="897" spans="1:8" x14ac:dyDescent="0.3">
      <c r="A897" s="9">
        <f>ROW()-ROW($A$14)</f>
        <v>883</v>
      </c>
      <c r="B897" s="9" t="e">
        <f>IF(A897&lt;=$B$8,$B$6+(A897-1)*($B$7-$B$6)/MAX(1,$B$8-1),NA())</f>
        <v>#N/A</v>
      </c>
      <c r="C897" s="9" t="e">
        <f>RADIANS(B897)</f>
        <v>#N/A</v>
      </c>
      <c r="D897" s="9" t="e">
        <f>($B$3+$B$4)*COS(C897)-$B$4*COS((($B$3+$B$4)/$B$4)*C897)</f>
        <v>#N/A</v>
      </c>
      <c r="E897" s="9" t="e">
        <f>($B$3+$B$4)*SIN(C897)-$B$4*SIN((($B$3+$B$4)/$B$4)*C897)</f>
        <v>#N/A</v>
      </c>
      <c r="F897" s="5"/>
      <c r="G897" s="5"/>
      <c r="H897" s="5"/>
    </row>
    <row r="898" spans="1:8" x14ac:dyDescent="0.3">
      <c r="A898" s="9">
        <f>ROW()-ROW($A$14)</f>
        <v>884</v>
      </c>
      <c r="B898" s="9" t="e">
        <f>IF(A898&lt;=$B$8,$B$6+(A898-1)*($B$7-$B$6)/MAX(1,$B$8-1),NA())</f>
        <v>#N/A</v>
      </c>
      <c r="C898" s="9" t="e">
        <f>RADIANS(B898)</f>
        <v>#N/A</v>
      </c>
      <c r="D898" s="9" t="e">
        <f>($B$3+$B$4)*COS(C898)-$B$4*COS((($B$3+$B$4)/$B$4)*C898)</f>
        <v>#N/A</v>
      </c>
      <c r="E898" s="9" t="e">
        <f>($B$3+$B$4)*SIN(C898)-$B$4*SIN((($B$3+$B$4)/$B$4)*C898)</f>
        <v>#N/A</v>
      </c>
      <c r="F898" s="5"/>
      <c r="G898" s="5"/>
      <c r="H898" s="5"/>
    </row>
    <row r="899" spans="1:8" x14ac:dyDescent="0.3">
      <c r="A899" s="9">
        <f>ROW()-ROW($A$14)</f>
        <v>885</v>
      </c>
      <c r="B899" s="9" t="e">
        <f>IF(A899&lt;=$B$8,$B$6+(A899-1)*($B$7-$B$6)/MAX(1,$B$8-1),NA())</f>
        <v>#N/A</v>
      </c>
      <c r="C899" s="9" t="e">
        <f>RADIANS(B899)</f>
        <v>#N/A</v>
      </c>
      <c r="D899" s="9" t="e">
        <f>($B$3+$B$4)*COS(C899)-$B$4*COS((($B$3+$B$4)/$B$4)*C899)</f>
        <v>#N/A</v>
      </c>
      <c r="E899" s="9" t="e">
        <f>($B$3+$B$4)*SIN(C899)-$B$4*SIN((($B$3+$B$4)/$B$4)*C899)</f>
        <v>#N/A</v>
      </c>
      <c r="F899" s="5"/>
      <c r="G899" s="5"/>
      <c r="H899" s="5"/>
    </row>
    <row r="900" spans="1:8" x14ac:dyDescent="0.3">
      <c r="A900" s="9">
        <f>ROW()-ROW($A$14)</f>
        <v>886</v>
      </c>
      <c r="B900" s="9" t="e">
        <f>IF(A900&lt;=$B$8,$B$6+(A900-1)*($B$7-$B$6)/MAX(1,$B$8-1),NA())</f>
        <v>#N/A</v>
      </c>
      <c r="C900" s="9" t="e">
        <f>RADIANS(B900)</f>
        <v>#N/A</v>
      </c>
      <c r="D900" s="9" t="e">
        <f>($B$3+$B$4)*COS(C900)-$B$4*COS((($B$3+$B$4)/$B$4)*C900)</f>
        <v>#N/A</v>
      </c>
      <c r="E900" s="9" t="e">
        <f>($B$3+$B$4)*SIN(C900)-$B$4*SIN((($B$3+$B$4)/$B$4)*C900)</f>
        <v>#N/A</v>
      </c>
      <c r="F900" s="5"/>
      <c r="G900" s="5"/>
      <c r="H900" s="5"/>
    </row>
    <row r="901" spans="1:8" x14ac:dyDescent="0.3">
      <c r="A901" s="9">
        <f>ROW()-ROW($A$14)</f>
        <v>887</v>
      </c>
      <c r="B901" s="9" t="e">
        <f>IF(A901&lt;=$B$8,$B$6+(A901-1)*($B$7-$B$6)/MAX(1,$B$8-1),NA())</f>
        <v>#N/A</v>
      </c>
      <c r="C901" s="9" t="e">
        <f>RADIANS(B901)</f>
        <v>#N/A</v>
      </c>
      <c r="D901" s="9" t="e">
        <f>($B$3+$B$4)*COS(C901)-$B$4*COS((($B$3+$B$4)/$B$4)*C901)</f>
        <v>#N/A</v>
      </c>
      <c r="E901" s="9" t="e">
        <f>($B$3+$B$4)*SIN(C901)-$B$4*SIN((($B$3+$B$4)/$B$4)*C901)</f>
        <v>#N/A</v>
      </c>
      <c r="F901" s="5"/>
      <c r="G901" s="5"/>
      <c r="H901" s="5"/>
    </row>
    <row r="902" spans="1:8" x14ac:dyDescent="0.3">
      <c r="A902" s="9">
        <f>ROW()-ROW($A$14)</f>
        <v>888</v>
      </c>
      <c r="B902" s="9" t="e">
        <f>IF(A902&lt;=$B$8,$B$6+(A902-1)*($B$7-$B$6)/MAX(1,$B$8-1),NA())</f>
        <v>#N/A</v>
      </c>
      <c r="C902" s="9" t="e">
        <f>RADIANS(B902)</f>
        <v>#N/A</v>
      </c>
      <c r="D902" s="9" t="e">
        <f>($B$3+$B$4)*COS(C902)-$B$4*COS((($B$3+$B$4)/$B$4)*C902)</f>
        <v>#N/A</v>
      </c>
      <c r="E902" s="9" t="e">
        <f>($B$3+$B$4)*SIN(C902)-$B$4*SIN((($B$3+$B$4)/$B$4)*C902)</f>
        <v>#N/A</v>
      </c>
      <c r="F902" s="5"/>
      <c r="G902" s="5"/>
      <c r="H902" s="5"/>
    </row>
    <row r="903" spans="1:8" x14ac:dyDescent="0.3">
      <c r="A903" s="9">
        <f>ROW()-ROW($A$14)</f>
        <v>889</v>
      </c>
      <c r="B903" s="9" t="e">
        <f>IF(A903&lt;=$B$8,$B$6+(A903-1)*($B$7-$B$6)/MAX(1,$B$8-1),NA())</f>
        <v>#N/A</v>
      </c>
      <c r="C903" s="9" t="e">
        <f>RADIANS(B903)</f>
        <v>#N/A</v>
      </c>
      <c r="D903" s="9" t="e">
        <f>($B$3+$B$4)*COS(C903)-$B$4*COS((($B$3+$B$4)/$B$4)*C903)</f>
        <v>#N/A</v>
      </c>
      <c r="E903" s="9" t="e">
        <f>($B$3+$B$4)*SIN(C903)-$B$4*SIN((($B$3+$B$4)/$B$4)*C903)</f>
        <v>#N/A</v>
      </c>
      <c r="F903" s="5"/>
      <c r="G903" s="5"/>
      <c r="H903" s="5"/>
    </row>
    <row r="904" spans="1:8" x14ac:dyDescent="0.3">
      <c r="A904" s="9">
        <f>ROW()-ROW($A$14)</f>
        <v>890</v>
      </c>
      <c r="B904" s="9" t="e">
        <f>IF(A904&lt;=$B$8,$B$6+(A904-1)*($B$7-$B$6)/MAX(1,$B$8-1),NA())</f>
        <v>#N/A</v>
      </c>
      <c r="C904" s="9" t="e">
        <f>RADIANS(B904)</f>
        <v>#N/A</v>
      </c>
      <c r="D904" s="9" t="e">
        <f>($B$3+$B$4)*COS(C904)-$B$4*COS((($B$3+$B$4)/$B$4)*C904)</f>
        <v>#N/A</v>
      </c>
      <c r="E904" s="9" t="e">
        <f>($B$3+$B$4)*SIN(C904)-$B$4*SIN((($B$3+$B$4)/$B$4)*C904)</f>
        <v>#N/A</v>
      </c>
      <c r="F904" s="5"/>
      <c r="G904" s="5"/>
      <c r="H904" s="5"/>
    </row>
    <row r="905" spans="1:8" x14ac:dyDescent="0.3">
      <c r="A905" s="9">
        <f>ROW()-ROW($A$14)</f>
        <v>891</v>
      </c>
      <c r="B905" s="9" t="e">
        <f>IF(A905&lt;=$B$8,$B$6+(A905-1)*($B$7-$B$6)/MAX(1,$B$8-1),NA())</f>
        <v>#N/A</v>
      </c>
      <c r="C905" s="9" t="e">
        <f>RADIANS(B905)</f>
        <v>#N/A</v>
      </c>
      <c r="D905" s="9" t="e">
        <f>($B$3+$B$4)*COS(C905)-$B$4*COS((($B$3+$B$4)/$B$4)*C905)</f>
        <v>#N/A</v>
      </c>
      <c r="E905" s="9" t="e">
        <f>($B$3+$B$4)*SIN(C905)-$B$4*SIN((($B$3+$B$4)/$B$4)*C905)</f>
        <v>#N/A</v>
      </c>
      <c r="F905" s="5"/>
      <c r="G905" s="5"/>
      <c r="H905" s="5"/>
    </row>
    <row r="906" spans="1:8" x14ac:dyDescent="0.3">
      <c r="A906" s="9">
        <f>ROW()-ROW($A$14)</f>
        <v>892</v>
      </c>
      <c r="B906" s="9" t="e">
        <f>IF(A906&lt;=$B$8,$B$6+(A906-1)*($B$7-$B$6)/MAX(1,$B$8-1),NA())</f>
        <v>#N/A</v>
      </c>
      <c r="C906" s="9" t="e">
        <f>RADIANS(B906)</f>
        <v>#N/A</v>
      </c>
      <c r="D906" s="9" t="e">
        <f>($B$3+$B$4)*COS(C906)-$B$4*COS((($B$3+$B$4)/$B$4)*C906)</f>
        <v>#N/A</v>
      </c>
      <c r="E906" s="9" t="e">
        <f>($B$3+$B$4)*SIN(C906)-$B$4*SIN((($B$3+$B$4)/$B$4)*C906)</f>
        <v>#N/A</v>
      </c>
      <c r="F906" s="5"/>
      <c r="G906" s="5"/>
      <c r="H906" s="5"/>
    </row>
    <row r="907" spans="1:8" x14ac:dyDescent="0.3">
      <c r="A907" s="9">
        <f>ROW()-ROW($A$14)</f>
        <v>893</v>
      </c>
      <c r="B907" s="9" t="e">
        <f>IF(A907&lt;=$B$8,$B$6+(A907-1)*($B$7-$B$6)/MAX(1,$B$8-1),NA())</f>
        <v>#N/A</v>
      </c>
      <c r="C907" s="9" t="e">
        <f>RADIANS(B907)</f>
        <v>#N/A</v>
      </c>
      <c r="D907" s="9" t="e">
        <f>($B$3+$B$4)*COS(C907)-$B$4*COS((($B$3+$B$4)/$B$4)*C907)</f>
        <v>#N/A</v>
      </c>
      <c r="E907" s="9" t="e">
        <f>($B$3+$B$4)*SIN(C907)-$B$4*SIN((($B$3+$B$4)/$B$4)*C907)</f>
        <v>#N/A</v>
      </c>
      <c r="F907" s="5"/>
      <c r="G907" s="5"/>
      <c r="H907" s="5"/>
    </row>
    <row r="908" spans="1:8" x14ac:dyDescent="0.3">
      <c r="A908" s="9">
        <f>ROW()-ROW($A$14)</f>
        <v>894</v>
      </c>
      <c r="B908" s="9" t="e">
        <f>IF(A908&lt;=$B$8,$B$6+(A908-1)*($B$7-$B$6)/MAX(1,$B$8-1),NA())</f>
        <v>#N/A</v>
      </c>
      <c r="C908" s="9" t="e">
        <f>RADIANS(B908)</f>
        <v>#N/A</v>
      </c>
      <c r="D908" s="9" t="e">
        <f>($B$3+$B$4)*COS(C908)-$B$4*COS((($B$3+$B$4)/$B$4)*C908)</f>
        <v>#N/A</v>
      </c>
      <c r="E908" s="9" t="e">
        <f>($B$3+$B$4)*SIN(C908)-$B$4*SIN((($B$3+$B$4)/$B$4)*C908)</f>
        <v>#N/A</v>
      </c>
      <c r="F908" s="5"/>
      <c r="G908" s="5"/>
      <c r="H908" s="5"/>
    </row>
    <row r="909" spans="1:8" x14ac:dyDescent="0.3">
      <c r="A909" s="9">
        <f>ROW()-ROW($A$14)</f>
        <v>895</v>
      </c>
      <c r="B909" s="9" t="e">
        <f>IF(A909&lt;=$B$8,$B$6+(A909-1)*($B$7-$B$6)/MAX(1,$B$8-1),NA())</f>
        <v>#N/A</v>
      </c>
      <c r="C909" s="9" t="e">
        <f>RADIANS(B909)</f>
        <v>#N/A</v>
      </c>
      <c r="D909" s="9" t="e">
        <f>($B$3+$B$4)*COS(C909)-$B$4*COS((($B$3+$B$4)/$B$4)*C909)</f>
        <v>#N/A</v>
      </c>
      <c r="E909" s="9" t="e">
        <f>($B$3+$B$4)*SIN(C909)-$B$4*SIN((($B$3+$B$4)/$B$4)*C909)</f>
        <v>#N/A</v>
      </c>
      <c r="F909" s="5"/>
      <c r="G909" s="5"/>
      <c r="H909" s="5"/>
    </row>
    <row r="910" spans="1:8" x14ac:dyDescent="0.3">
      <c r="A910" s="9">
        <f>ROW()-ROW($A$14)</f>
        <v>896</v>
      </c>
      <c r="B910" s="9" t="e">
        <f>IF(A910&lt;=$B$8,$B$6+(A910-1)*($B$7-$B$6)/MAX(1,$B$8-1),NA())</f>
        <v>#N/A</v>
      </c>
      <c r="C910" s="9" t="e">
        <f>RADIANS(B910)</f>
        <v>#N/A</v>
      </c>
      <c r="D910" s="9" t="e">
        <f>($B$3+$B$4)*COS(C910)-$B$4*COS((($B$3+$B$4)/$B$4)*C910)</f>
        <v>#N/A</v>
      </c>
      <c r="E910" s="9" t="e">
        <f>($B$3+$B$4)*SIN(C910)-$B$4*SIN((($B$3+$B$4)/$B$4)*C910)</f>
        <v>#N/A</v>
      </c>
      <c r="F910" s="5"/>
      <c r="G910" s="5"/>
      <c r="H910" s="5"/>
    </row>
    <row r="911" spans="1:8" x14ac:dyDescent="0.3">
      <c r="A911" s="9">
        <f>ROW()-ROW($A$14)</f>
        <v>897</v>
      </c>
      <c r="B911" s="9" t="e">
        <f>IF(A911&lt;=$B$8,$B$6+(A911-1)*($B$7-$B$6)/MAX(1,$B$8-1),NA())</f>
        <v>#N/A</v>
      </c>
      <c r="C911" s="9" t="e">
        <f>RADIANS(B911)</f>
        <v>#N/A</v>
      </c>
      <c r="D911" s="9" t="e">
        <f>($B$3+$B$4)*COS(C911)-$B$4*COS((($B$3+$B$4)/$B$4)*C911)</f>
        <v>#N/A</v>
      </c>
      <c r="E911" s="9" t="e">
        <f>($B$3+$B$4)*SIN(C911)-$B$4*SIN((($B$3+$B$4)/$B$4)*C911)</f>
        <v>#N/A</v>
      </c>
      <c r="F911" s="5"/>
      <c r="G911" s="5"/>
      <c r="H911" s="5"/>
    </row>
    <row r="912" spans="1:8" x14ac:dyDescent="0.3">
      <c r="A912" s="9">
        <f>ROW()-ROW($A$14)</f>
        <v>898</v>
      </c>
      <c r="B912" s="9" t="e">
        <f>IF(A912&lt;=$B$8,$B$6+(A912-1)*($B$7-$B$6)/MAX(1,$B$8-1),NA())</f>
        <v>#N/A</v>
      </c>
      <c r="C912" s="9" t="e">
        <f>RADIANS(B912)</f>
        <v>#N/A</v>
      </c>
      <c r="D912" s="9" t="e">
        <f>($B$3+$B$4)*COS(C912)-$B$4*COS((($B$3+$B$4)/$B$4)*C912)</f>
        <v>#N/A</v>
      </c>
      <c r="E912" s="9" t="e">
        <f>($B$3+$B$4)*SIN(C912)-$B$4*SIN((($B$3+$B$4)/$B$4)*C912)</f>
        <v>#N/A</v>
      </c>
      <c r="F912" s="5"/>
      <c r="G912" s="5"/>
      <c r="H912" s="5"/>
    </row>
    <row r="913" spans="1:8" x14ac:dyDescent="0.3">
      <c r="A913" s="9">
        <f>ROW()-ROW($A$14)</f>
        <v>899</v>
      </c>
      <c r="B913" s="9" t="e">
        <f>IF(A913&lt;=$B$8,$B$6+(A913-1)*($B$7-$B$6)/MAX(1,$B$8-1),NA())</f>
        <v>#N/A</v>
      </c>
      <c r="C913" s="9" t="e">
        <f>RADIANS(B913)</f>
        <v>#N/A</v>
      </c>
      <c r="D913" s="9" t="e">
        <f>($B$3+$B$4)*COS(C913)-$B$4*COS((($B$3+$B$4)/$B$4)*C913)</f>
        <v>#N/A</v>
      </c>
      <c r="E913" s="9" t="e">
        <f>($B$3+$B$4)*SIN(C913)-$B$4*SIN((($B$3+$B$4)/$B$4)*C913)</f>
        <v>#N/A</v>
      </c>
      <c r="F913" s="5"/>
      <c r="G913" s="5"/>
      <c r="H913" s="5"/>
    </row>
    <row r="914" spans="1:8" x14ac:dyDescent="0.3">
      <c r="A914" s="9">
        <f>ROW()-ROW($A$14)</f>
        <v>900</v>
      </c>
      <c r="B914" s="9" t="e">
        <f>IF(A914&lt;=$B$8,$B$6+(A914-1)*($B$7-$B$6)/MAX(1,$B$8-1),NA())</f>
        <v>#N/A</v>
      </c>
      <c r="C914" s="9" t="e">
        <f>RADIANS(B914)</f>
        <v>#N/A</v>
      </c>
      <c r="D914" s="9" t="e">
        <f>($B$3+$B$4)*COS(C914)-$B$4*COS((($B$3+$B$4)/$B$4)*C914)</f>
        <v>#N/A</v>
      </c>
      <c r="E914" s="9" t="e">
        <f>($B$3+$B$4)*SIN(C914)-$B$4*SIN((($B$3+$B$4)/$B$4)*C914)</f>
        <v>#N/A</v>
      </c>
      <c r="F914" s="5"/>
      <c r="G914" s="5"/>
      <c r="H914" s="5"/>
    </row>
    <row r="915" spans="1:8" x14ac:dyDescent="0.3">
      <c r="A915" s="9">
        <f>ROW()-ROW($A$14)</f>
        <v>901</v>
      </c>
      <c r="B915" s="9" t="e">
        <f>IF(A915&lt;=$B$8,$B$6+(A915-1)*($B$7-$B$6)/MAX(1,$B$8-1),NA())</f>
        <v>#N/A</v>
      </c>
      <c r="C915" s="9" t="e">
        <f>RADIANS(B915)</f>
        <v>#N/A</v>
      </c>
      <c r="D915" s="9" t="e">
        <f>($B$3+$B$4)*COS(C915)-$B$4*COS((($B$3+$B$4)/$B$4)*C915)</f>
        <v>#N/A</v>
      </c>
      <c r="E915" s="9" t="e">
        <f>($B$3+$B$4)*SIN(C915)-$B$4*SIN((($B$3+$B$4)/$B$4)*C915)</f>
        <v>#N/A</v>
      </c>
      <c r="F915" s="5"/>
      <c r="G915" s="5"/>
      <c r="H915" s="5"/>
    </row>
    <row r="916" spans="1:8" x14ac:dyDescent="0.3">
      <c r="A916" s="9">
        <f>ROW()-ROW($A$14)</f>
        <v>902</v>
      </c>
      <c r="B916" s="9" t="e">
        <f>IF(A916&lt;=$B$8,$B$6+(A916-1)*($B$7-$B$6)/MAX(1,$B$8-1),NA())</f>
        <v>#N/A</v>
      </c>
      <c r="C916" s="9" t="e">
        <f>RADIANS(B916)</f>
        <v>#N/A</v>
      </c>
      <c r="D916" s="9" t="e">
        <f>($B$3+$B$4)*COS(C916)-$B$4*COS((($B$3+$B$4)/$B$4)*C916)</f>
        <v>#N/A</v>
      </c>
      <c r="E916" s="9" t="e">
        <f>($B$3+$B$4)*SIN(C916)-$B$4*SIN((($B$3+$B$4)/$B$4)*C916)</f>
        <v>#N/A</v>
      </c>
      <c r="F916" s="5"/>
      <c r="G916" s="5"/>
      <c r="H916" s="5"/>
    </row>
    <row r="917" spans="1:8" x14ac:dyDescent="0.3">
      <c r="A917" s="9">
        <f>ROW()-ROW($A$14)</f>
        <v>903</v>
      </c>
      <c r="B917" s="9" t="e">
        <f>IF(A917&lt;=$B$8,$B$6+(A917-1)*($B$7-$B$6)/MAX(1,$B$8-1),NA())</f>
        <v>#N/A</v>
      </c>
      <c r="C917" s="9" t="e">
        <f>RADIANS(B917)</f>
        <v>#N/A</v>
      </c>
      <c r="D917" s="9" t="e">
        <f>($B$3+$B$4)*COS(C917)-$B$4*COS((($B$3+$B$4)/$B$4)*C917)</f>
        <v>#N/A</v>
      </c>
      <c r="E917" s="9" t="e">
        <f>($B$3+$B$4)*SIN(C917)-$B$4*SIN((($B$3+$B$4)/$B$4)*C917)</f>
        <v>#N/A</v>
      </c>
      <c r="F917" s="5"/>
      <c r="G917" s="5"/>
      <c r="H917" s="5"/>
    </row>
    <row r="918" spans="1:8" x14ac:dyDescent="0.3">
      <c r="A918" s="9">
        <f>ROW()-ROW($A$14)</f>
        <v>904</v>
      </c>
      <c r="B918" s="9" t="e">
        <f>IF(A918&lt;=$B$8,$B$6+(A918-1)*($B$7-$B$6)/MAX(1,$B$8-1),NA())</f>
        <v>#N/A</v>
      </c>
      <c r="C918" s="9" t="e">
        <f>RADIANS(B918)</f>
        <v>#N/A</v>
      </c>
      <c r="D918" s="9" t="e">
        <f>($B$3+$B$4)*COS(C918)-$B$4*COS((($B$3+$B$4)/$B$4)*C918)</f>
        <v>#N/A</v>
      </c>
      <c r="E918" s="9" t="e">
        <f>($B$3+$B$4)*SIN(C918)-$B$4*SIN((($B$3+$B$4)/$B$4)*C918)</f>
        <v>#N/A</v>
      </c>
      <c r="F918" s="5"/>
      <c r="G918" s="5"/>
      <c r="H918" s="5"/>
    </row>
    <row r="919" spans="1:8" x14ac:dyDescent="0.3">
      <c r="A919" s="9">
        <f>ROW()-ROW($A$14)</f>
        <v>905</v>
      </c>
      <c r="B919" s="9" t="e">
        <f>IF(A919&lt;=$B$8,$B$6+(A919-1)*($B$7-$B$6)/MAX(1,$B$8-1),NA())</f>
        <v>#N/A</v>
      </c>
      <c r="C919" s="9" t="e">
        <f>RADIANS(B919)</f>
        <v>#N/A</v>
      </c>
      <c r="D919" s="9" t="e">
        <f>($B$3+$B$4)*COS(C919)-$B$4*COS((($B$3+$B$4)/$B$4)*C919)</f>
        <v>#N/A</v>
      </c>
      <c r="E919" s="9" t="e">
        <f>($B$3+$B$4)*SIN(C919)-$B$4*SIN((($B$3+$B$4)/$B$4)*C919)</f>
        <v>#N/A</v>
      </c>
      <c r="F919" s="5"/>
      <c r="G919" s="5"/>
      <c r="H919" s="5"/>
    </row>
    <row r="920" spans="1:8" x14ac:dyDescent="0.3">
      <c r="A920" s="9">
        <f>ROW()-ROW($A$14)</f>
        <v>906</v>
      </c>
      <c r="B920" s="9" t="e">
        <f>IF(A920&lt;=$B$8,$B$6+(A920-1)*($B$7-$B$6)/MAX(1,$B$8-1),NA())</f>
        <v>#N/A</v>
      </c>
      <c r="C920" s="9" t="e">
        <f>RADIANS(B920)</f>
        <v>#N/A</v>
      </c>
      <c r="D920" s="9" t="e">
        <f>($B$3+$B$4)*COS(C920)-$B$4*COS((($B$3+$B$4)/$B$4)*C920)</f>
        <v>#N/A</v>
      </c>
      <c r="E920" s="9" t="e">
        <f>($B$3+$B$4)*SIN(C920)-$B$4*SIN((($B$3+$B$4)/$B$4)*C920)</f>
        <v>#N/A</v>
      </c>
      <c r="F920" s="5"/>
      <c r="G920" s="5"/>
      <c r="H920" s="5"/>
    </row>
    <row r="921" spans="1:8" x14ac:dyDescent="0.3">
      <c r="A921" s="9">
        <f>ROW()-ROW($A$14)</f>
        <v>907</v>
      </c>
      <c r="B921" s="9" t="e">
        <f>IF(A921&lt;=$B$8,$B$6+(A921-1)*($B$7-$B$6)/MAX(1,$B$8-1),NA())</f>
        <v>#N/A</v>
      </c>
      <c r="C921" s="9" t="e">
        <f>RADIANS(B921)</f>
        <v>#N/A</v>
      </c>
      <c r="D921" s="9" t="e">
        <f>($B$3+$B$4)*COS(C921)-$B$4*COS((($B$3+$B$4)/$B$4)*C921)</f>
        <v>#N/A</v>
      </c>
      <c r="E921" s="9" t="e">
        <f>($B$3+$B$4)*SIN(C921)-$B$4*SIN((($B$3+$B$4)/$B$4)*C921)</f>
        <v>#N/A</v>
      </c>
      <c r="F921" s="5"/>
      <c r="G921" s="5"/>
      <c r="H921" s="5"/>
    </row>
    <row r="922" spans="1:8" x14ac:dyDescent="0.3">
      <c r="A922" s="9">
        <f>ROW()-ROW($A$14)</f>
        <v>908</v>
      </c>
      <c r="B922" s="9" t="e">
        <f>IF(A922&lt;=$B$8,$B$6+(A922-1)*($B$7-$B$6)/MAX(1,$B$8-1),NA())</f>
        <v>#N/A</v>
      </c>
      <c r="C922" s="9" t="e">
        <f>RADIANS(B922)</f>
        <v>#N/A</v>
      </c>
      <c r="D922" s="9" t="e">
        <f>($B$3+$B$4)*COS(C922)-$B$4*COS((($B$3+$B$4)/$B$4)*C922)</f>
        <v>#N/A</v>
      </c>
      <c r="E922" s="9" t="e">
        <f>($B$3+$B$4)*SIN(C922)-$B$4*SIN((($B$3+$B$4)/$B$4)*C922)</f>
        <v>#N/A</v>
      </c>
      <c r="F922" s="5"/>
      <c r="G922" s="5"/>
      <c r="H922" s="5"/>
    </row>
    <row r="923" spans="1:8" x14ac:dyDescent="0.3">
      <c r="A923" s="9">
        <f>ROW()-ROW($A$14)</f>
        <v>909</v>
      </c>
      <c r="B923" s="9" t="e">
        <f>IF(A923&lt;=$B$8,$B$6+(A923-1)*($B$7-$B$6)/MAX(1,$B$8-1),NA())</f>
        <v>#N/A</v>
      </c>
      <c r="C923" s="9" t="e">
        <f>RADIANS(B923)</f>
        <v>#N/A</v>
      </c>
      <c r="D923" s="9" t="e">
        <f>($B$3+$B$4)*COS(C923)-$B$4*COS((($B$3+$B$4)/$B$4)*C923)</f>
        <v>#N/A</v>
      </c>
      <c r="E923" s="9" t="e">
        <f>($B$3+$B$4)*SIN(C923)-$B$4*SIN((($B$3+$B$4)/$B$4)*C923)</f>
        <v>#N/A</v>
      </c>
      <c r="F923" s="5"/>
      <c r="G923" s="5"/>
      <c r="H923" s="5"/>
    </row>
    <row r="924" spans="1:8" x14ac:dyDescent="0.3">
      <c r="A924" s="9">
        <f>ROW()-ROW($A$14)</f>
        <v>910</v>
      </c>
      <c r="B924" s="9" t="e">
        <f>IF(A924&lt;=$B$8,$B$6+(A924-1)*($B$7-$B$6)/MAX(1,$B$8-1),NA())</f>
        <v>#N/A</v>
      </c>
      <c r="C924" s="9" t="e">
        <f>RADIANS(B924)</f>
        <v>#N/A</v>
      </c>
      <c r="D924" s="9" t="e">
        <f>($B$3+$B$4)*COS(C924)-$B$4*COS((($B$3+$B$4)/$B$4)*C924)</f>
        <v>#N/A</v>
      </c>
      <c r="E924" s="9" t="e">
        <f>($B$3+$B$4)*SIN(C924)-$B$4*SIN((($B$3+$B$4)/$B$4)*C924)</f>
        <v>#N/A</v>
      </c>
      <c r="F924" s="5"/>
      <c r="G924" s="5"/>
      <c r="H924" s="5"/>
    </row>
    <row r="925" spans="1:8" x14ac:dyDescent="0.3">
      <c r="A925" s="9">
        <f>ROW()-ROW($A$14)</f>
        <v>911</v>
      </c>
      <c r="B925" s="9" t="e">
        <f>IF(A925&lt;=$B$8,$B$6+(A925-1)*($B$7-$B$6)/MAX(1,$B$8-1),NA())</f>
        <v>#N/A</v>
      </c>
      <c r="C925" s="9" t="e">
        <f>RADIANS(B925)</f>
        <v>#N/A</v>
      </c>
      <c r="D925" s="9" t="e">
        <f>($B$3+$B$4)*COS(C925)-$B$4*COS((($B$3+$B$4)/$B$4)*C925)</f>
        <v>#N/A</v>
      </c>
      <c r="E925" s="9" t="e">
        <f>($B$3+$B$4)*SIN(C925)-$B$4*SIN((($B$3+$B$4)/$B$4)*C925)</f>
        <v>#N/A</v>
      </c>
      <c r="F925" s="5"/>
      <c r="G925" s="5"/>
      <c r="H925" s="5"/>
    </row>
    <row r="926" spans="1:8" x14ac:dyDescent="0.3">
      <c r="A926" s="9">
        <f>ROW()-ROW($A$14)</f>
        <v>912</v>
      </c>
      <c r="B926" s="9" t="e">
        <f>IF(A926&lt;=$B$8,$B$6+(A926-1)*($B$7-$B$6)/MAX(1,$B$8-1),NA())</f>
        <v>#N/A</v>
      </c>
      <c r="C926" s="9" t="e">
        <f>RADIANS(B926)</f>
        <v>#N/A</v>
      </c>
      <c r="D926" s="9" t="e">
        <f>($B$3+$B$4)*COS(C926)-$B$4*COS((($B$3+$B$4)/$B$4)*C926)</f>
        <v>#N/A</v>
      </c>
      <c r="E926" s="9" t="e">
        <f>($B$3+$B$4)*SIN(C926)-$B$4*SIN((($B$3+$B$4)/$B$4)*C926)</f>
        <v>#N/A</v>
      </c>
      <c r="F926" s="5"/>
      <c r="G926" s="5"/>
      <c r="H926" s="5"/>
    </row>
    <row r="927" spans="1:8" x14ac:dyDescent="0.3">
      <c r="A927" s="9">
        <f>ROW()-ROW($A$14)</f>
        <v>913</v>
      </c>
      <c r="B927" s="9" t="e">
        <f>IF(A927&lt;=$B$8,$B$6+(A927-1)*($B$7-$B$6)/MAX(1,$B$8-1),NA())</f>
        <v>#N/A</v>
      </c>
      <c r="C927" s="9" t="e">
        <f>RADIANS(B927)</f>
        <v>#N/A</v>
      </c>
      <c r="D927" s="9" t="e">
        <f>($B$3+$B$4)*COS(C927)-$B$4*COS((($B$3+$B$4)/$B$4)*C927)</f>
        <v>#N/A</v>
      </c>
      <c r="E927" s="9" t="e">
        <f>($B$3+$B$4)*SIN(C927)-$B$4*SIN((($B$3+$B$4)/$B$4)*C927)</f>
        <v>#N/A</v>
      </c>
      <c r="F927" s="5"/>
      <c r="G927" s="5"/>
      <c r="H927" s="5"/>
    </row>
    <row r="928" spans="1:8" x14ac:dyDescent="0.3">
      <c r="A928" s="9">
        <f>ROW()-ROW($A$14)</f>
        <v>914</v>
      </c>
      <c r="B928" s="9" t="e">
        <f>IF(A928&lt;=$B$8,$B$6+(A928-1)*($B$7-$B$6)/MAX(1,$B$8-1),NA())</f>
        <v>#N/A</v>
      </c>
      <c r="C928" s="9" t="e">
        <f>RADIANS(B928)</f>
        <v>#N/A</v>
      </c>
      <c r="D928" s="9" t="e">
        <f>($B$3+$B$4)*COS(C928)-$B$4*COS((($B$3+$B$4)/$B$4)*C928)</f>
        <v>#N/A</v>
      </c>
      <c r="E928" s="9" t="e">
        <f>($B$3+$B$4)*SIN(C928)-$B$4*SIN((($B$3+$B$4)/$B$4)*C928)</f>
        <v>#N/A</v>
      </c>
      <c r="F928" s="5"/>
      <c r="G928" s="5"/>
      <c r="H928" s="5"/>
    </row>
    <row r="929" spans="1:8" x14ac:dyDescent="0.3">
      <c r="A929" s="9">
        <f>ROW()-ROW($A$14)</f>
        <v>915</v>
      </c>
      <c r="B929" s="9" t="e">
        <f>IF(A929&lt;=$B$8,$B$6+(A929-1)*($B$7-$B$6)/MAX(1,$B$8-1),NA())</f>
        <v>#N/A</v>
      </c>
      <c r="C929" s="9" t="e">
        <f>RADIANS(B929)</f>
        <v>#N/A</v>
      </c>
      <c r="D929" s="9" t="e">
        <f>($B$3+$B$4)*COS(C929)-$B$4*COS((($B$3+$B$4)/$B$4)*C929)</f>
        <v>#N/A</v>
      </c>
      <c r="E929" s="9" t="e">
        <f>($B$3+$B$4)*SIN(C929)-$B$4*SIN((($B$3+$B$4)/$B$4)*C929)</f>
        <v>#N/A</v>
      </c>
      <c r="F929" s="5"/>
      <c r="G929" s="5"/>
      <c r="H929" s="5"/>
    </row>
    <row r="930" spans="1:8" x14ac:dyDescent="0.3">
      <c r="A930" s="9">
        <f>ROW()-ROW($A$14)</f>
        <v>916</v>
      </c>
      <c r="B930" s="9" t="e">
        <f>IF(A930&lt;=$B$8,$B$6+(A930-1)*($B$7-$B$6)/MAX(1,$B$8-1),NA())</f>
        <v>#N/A</v>
      </c>
      <c r="C930" s="9" t="e">
        <f>RADIANS(B930)</f>
        <v>#N/A</v>
      </c>
      <c r="D930" s="9" t="e">
        <f>($B$3+$B$4)*COS(C930)-$B$4*COS((($B$3+$B$4)/$B$4)*C930)</f>
        <v>#N/A</v>
      </c>
      <c r="E930" s="9" t="e">
        <f>($B$3+$B$4)*SIN(C930)-$B$4*SIN((($B$3+$B$4)/$B$4)*C930)</f>
        <v>#N/A</v>
      </c>
      <c r="F930" s="5"/>
      <c r="G930" s="5"/>
      <c r="H930" s="5"/>
    </row>
    <row r="931" spans="1:8" x14ac:dyDescent="0.3">
      <c r="A931" s="9">
        <f>ROW()-ROW($A$14)</f>
        <v>917</v>
      </c>
      <c r="B931" s="9" t="e">
        <f>IF(A931&lt;=$B$8,$B$6+(A931-1)*($B$7-$B$6)/MAX(1,$B$8-1),NA())</f>
        <v>#N/A</v>
      </c>
      <c r="C931" s="9" t="e">
        <f>RADIANS(B931)</f>
        <v>#N/A</v>
      </c>
      <c r="D931" s="9" t="e">
        <f>($B$3+$B$4)*COS(C931)-$B$4*COS((($B$3+$B$4)/$B$4)*C931)</f>
        <v>#N/A</v>
      </c>
      <c r="E931" s="9" t="e">
        <f>($B$3+$B$4)*SIN(C931)-$B$4*SIN((($B$3+$B$4)/$B$4)*C931)</f>
        <v>#N/A</v>
      </c>
      <c r="F931" s="5"/>
      <c r="G931" s="5"/>
      <c r="H931" s="5"/>
    </row>
    <row r="932" spans="1:8" x14ac:dyDescent="0.3">
      <c r="A932" s="9">
        <f>ROW()-ROW($A$14)</f>
        <v>918</v>
      </c>
      <c r="B932" s="9" t="e">
        <f>IF(A932&lt;=$B$8,$B$6+(A932-1)*($B$7-$B$6)/MAX(1,$B$8-1),NA())</f>
        <v>#N/A</v>
      </c>
      <c r="C932" s="9" t="e">
        <f>RADIANS(B932)</f>
        <v>#N/A</v>
      </c>
      <c r="D932" s="9" t="e">
        <f>($B$3+$B$4)*COS(C932)-$B$4*COS((($B$3+$B$4)/$B$4)*C932)</f>
        <v>#N/A</v>
      </c>
      <c r="E932" s="9" t="e">
        <f>($B$3+$B$4)*SIN(C932)-$B$4*SIN((($B$3+$B$4)/$B$4)*C932)</f>
        <v>#N/A</v>
      </c>
      <c r="F932" s="5"/>
      <c r="G932" s="5"/>
      <c r="H932" s="5"/>
    </row>
    <row r="933" spans="1:8" x14ac:dyDescent="0.3">
      <c r="A933" s="9">
        <f>ROW()-ROW($A$14)</f>
        <v>919</v>
      </c>
      <c r="B933" s="9" t="e">
        <f>IF(A933&lt;=$B$8,$B$6+(A933-1)*($B$7-$B$6)/MAX(1,$B$8-1),NA())</f>
        <v>#N/A</v>
      </c>
      <c r="C933" s="9" t="e">
        <f>RADIANS(B933)</f>
        <v>#N/A</v>
      </c>
      <c r="D933" s="9" t="e">
        <f>($B$3+$B$4)*COS(C933)-$B$4*COS((($B$3+$B$4)/$B$4)*C933)</f>
        <v>#N/A</v>
      </c>
      <c r="E933" s="9" t="e">
        <f>($B$3+$B$4)*SIN(C933)-$B$4*SIN((($B$3+$B$4)/$B$4)*C933)</f>
        <v>#N/A</v>
      </c>
      <c r="F933" s="5"/>
      <c r="G933" s="5"/>
      <c r="H933" s="5"/>
    </row>
    <row r="934" spans="1:8" x14ac:dyDescent="0.3">
      <c r="A934" s="9">
        <f>ROW()-ROW($A$14)</f>
        <v>920</v>
      </c>
      <c r="B934" s="9" t="e">
        <f>IF(A934&lt;=$B$8,$B$6+(A934-1)*($B$7-$B$6)/MAX(1,$B$8-1),NA())</f>
        <v>#N/A</v>
      </c>
      <c r="C934" s="9" t="e">
        <f>RADIANS(B934)</f>
        <v>#N/A</v>
      </c>
      <c r="D934" s="9" t="e">
        <f>($B$3+$B$4)*COS(C934)-$B$4*COS((($B$3+$B$4)/$B$4)*C934)</f>
        <v>#N/A</v>
      </c>
      <c r="E934" s="9" t="e">
        <f>($B$3+$B$4)*SIN(C934)-$B$4*SIN((($B$3+$B$4)/$B$4)*C934)</f>
        <v>#N/A</v>
      </c>
      <c r="F934" s="5"/>
      <c r="G934" s="5"/>
      <c r="H934" s="5"/>
    </row>
    <row r="935" spans="1:8" x14ac:dyDescent="0.3">
      <c r="A935" s="9">
        <f>ROW()-ROW($A$14)</f>
        <v>921</v>
      </c>
      <c r="B935" s="9" t="e">
        <f>IF(A935&lt;=$B$8,$B$6+(A935-1)*($B$7-$B$6)/MAX(1,$B$8-1),NA())</f>
        <v>#N/A</v>
      </c>
      <c r="C935" s="9" t="e">
        <f>RADIANS(B935)</f>
        <v>#N/A</v>
      </c>
      <c r="D935" s="9" t="e">
        <f>($B$3+$B$4)*COS(C935)-$B$4*COS((($B$3+$B$4)/$B$4)*C935)</f>
        <v>#N/A</v>
      </c>
      <c r="E935" s="9" t="e">
        <f>($B$3+$B$4)*SIN(C935)-$B$4*SIN((($B$3+$B$4)/$B$4)*C935)</f>
        <v>#N/A</v>
      </c>
      <c r="F935" s="5"/>
      <c r="G935" s="5"/>
      <c r="H935" s="5"/>
    </row>
    <row r="936" spans="1:8" x14ac:dyDescent="0.3">
      <c r="A936" s="9">
        <f>ROW()-ROW($A$14)</f>
        <v>922</v>
      </c>
      <c r="B936" s="9" t="e">
        <f>IF(A936&lt;=$B$8,$B$6+(A936-1)*($B$7-$B$6)/MAX(1,$B$8-1),NA())</f>
        <v>#N/A</v>
      </c>
      <c r="C936" s="9" t="e">
        <f>RADIANS(B936)</f>
        <v>#N/A</v>
      </c>
      <c r="D936" s="9" t="e">
        <f>($B$3+$B$4)*COS(C936)-$B$4*COS((($B$3+$B$4)/$B$4)*C936)</f>
        <v>#N/A</v>
      </c>
      <c r="E936" s="9" t="e">
        <f>($B$3+$B$4)*SIN(C936)-$B$4*SIN((($B$3+$B$4)/$B$4)*C936)</f>
        <v>#N/A</v>
      </c>
      <c r="F936" s="5"/>
      <c r="G936" s="5"/>
      <c r="H936" s="5"/>
    </row>
    <row r="937" spans="1:8" x14ac:dyDescent="0.3">
      <c r="A937" s="9">
        <f>ROW()-ROW($A$14)</f>
        <v>923</v>
      </c>
      <c r="B937" s="9" t="e">
        <f>IF(A937&lt;=$B$8,$B$6+(A937-1)*($B$7-$B$6)/MAX(1,$B$8-1),NA())</f>
        <v>#N/A</v>
      </c>
      <c r="C937" s="9" t="e">
        <f>RADIANS(B937)</f>
        <v>#N/A</v>
      </c>
      <c r="D937" s="9" t="e">
        <f>($B$3+$B$4)*COS(C937)-$B$4*COS((($B$3+$B$4)/$B$4)*C937)</f>
        <v>#N/A</v>
      </c>
      <c r="E937" s="9" t="e">
        <f>($B$3+$B$4)*SIN(C937)-$B$4*SIN((($B$3+$B$4)/$B$4)*C937)</f>
        <v>#N/A</v>
      </c>
      <c r="F937" s="5"/>
      <c r="G937" s="5"/>
      <c r="H937" s="5"/>
    </row>
    <row r="938" spans="1:8" x14ac:dyDescent="0.3">
      <c r="A938" s="9">
        <f>ROW()-ROW($A$14)</f>
        <v>924</v>
      </c>
      <c r="B938" s="9" t="e">
        <f>IF(A938&lt;=$B$8,$B$6+(A938-1)*($B$7-$B$6)/MAX(1,$B$8-1),NA())</f>
        <v>#N/A</v>
      </c>
      <c r="C938" s="9" t="e">
        <f>RADIANS(B938)</f>
        <v>#N/A</v>
      </c>
      <c r="D938" s="9" t="e">
        <f>($B$3+$B$4)*COS(C938)-$B$4*COS((($B$3+$B$4)/$B$4)*C938)</f>
        <v>#N/A</v>
      </c>
      <c r="E938" s="9" t="e">
        <f>($B$3+$B$4)*SIN(C938)-$B$4*SIN((($B$3+$B$4)/$B$4)*C938)</f>
        <v>#N/A</v>
      </c>
      <c r="F938" s="5"/>
      <c r="G938" s="5"/>
      <c r="H938" s="5"/>
    </row>
    <row r="939" spans="1:8" x14ac:dyDescent="0.3">
      <c r="A939" s="9">
        <f>ROW()-ROW($A$14)</f>
        <v>925</v>
      </c>
      <c r="B939" s="9" t="e">
        <f>IF(A939&lt;=$B$8,$B$6+(A939-1)*($B$7-$B$6)/MAX(1,$B$8-1),NA())</f>
        <v>#N/A</v>
      </c>
      <c r="C939" s="9" t="e">
        <f>RADIANS(B939)</f>
        <v>#N/A</v>
      </c>
      <c r="D939" s="9" t="e">
        <f>($B$3+$B$4)*COS(C939)-$B$4*COS((($B$3+$B$4)/$B$4)*C939)</f>
        <v>#N/A</v>
      </c>
      <c r="E939" s="9" t="e">
        <f>($B$3+$B$4)*SIN(C939)-$B$4*SIN((($B$3+$B$4)/$B$4)*C939)</f>
        <v>#N/A</v>
      </c>
      <c r="F939" s="5"/>
      <c r="G939" s="5"/>
      <c r="H939" s="5"/>
    </row>
    <row r="940" spans="1:8" x14ac:dyDescent="0.3">
      <c r="A940" s="9">
        <f>ROW()-ROW($A$14)</f>
        <v>926</v>
      </c>
      <c r="B940" s="9" t="e">
        <f>IF(A940&lt;=$B$8,$B$6+(A940-1)*($B$7-$B$6)/MAX(1,$B$8-1),NA())</f>
        <v>#N/A</v>
      </c>
      <c r="C940" s="9" t="e">
        <f>RADIANS(B940)</f>
        <v>#N/A</v>
      </c>
      <c r="D940" s="9" t="e">
        <f>($B$3+$B$4)*COS(C940)-$B$4*COS((($B$3+$B$4)/$B$4)*C940)</f>
        <v>#N/A</v>
      </c>
      <c r="E940" s="9" t="e">
        <f>($B$3+$B$4)*SIN(C940)-$B$4*SIN((($B$3+$B$4)/$B$4)*C940)</f>
        <v>#N/A</v>
      </c>
      <c r="F940" s="5"/>
      <c r="G940" s="5"/>
      <c r="H940" s="5"/>
    </row>
    <row r="941" spans="1:8" x14ac:dyDescent="0.3">
      <c r="A941" s="9">
        <f>ROW()-ROW($A$14)</f>
        <v>927</v>
      </c>
      <c r="B941" s="9" t="e">
        <f>IF(A941&lt;=$B$8,$B$6+(A941-1)*($B$7-$B$6)/MAX(1,$B$8-1),NA())</f>
        <v>#N/A</v>
      </c>
      <c r="C941" s="9" t="e">
        <f>RADIANS(B941)</f>
        <v>#N/A</v>
      </c>
      <c r="D941" s="9" t="e">
        <f>($B$3+$B$4)*COS(C941)-$B$4*COS((($B$3+$B$4)/$B$4)*C941)</f>
        <v>#N/A</v>
      </c>
      <c r="E941" s="9" t="e">
        <f>($B$3+$B$4)*SIN(C941)-$B$4*SIN((($B$3+$B$4)/$B$4)*C941)</f>
        <v>#N/A</v>
      </c>
      <c r="F941" s="5"/>
      <c r="G941" s="5"/>
      <c r="H941" s="5"/>
    </row>
    <row r="942" spans="1:8" x14ac:dyDescent="0.3">
      <c r="A942" s="9">
        <f>ROW()-ROW($A$14)</f>
        <v>928</v>
      </c>
      <c r="B942" s="9" t="e">
        <f>IF(A942&lt;=$B$8,$B$6+(A942-1)*($B$7-$B$6)/MAX(1,$B$8-1),NA())</f>
        <v>#N/A</v>
      </c>
      <c r="C942" s="9" t="e">
        <f>RADIANS(B942)</f>
        <v>#N/A</v>
      </c>
      <c r="D942" s="9" t="e">
        <f>($B$3+$B$4)*COS(C942)-$B$4*COS((($B$3+$B$4)/$B$4)*C942)</f>
        <v>#N/A</v>
      </c>
      <c r="E942" s="9" t="e">
        <f>($B$3+$B$4)*SIN(C942)-$B$4*SIN((($B$3+$B$4)/$B$4)*C942)</f>
        <v>#N/A</v>
      </c>
      <c r="F942" s="5"/>
      <c r="G942" s="5"/>
      <c r="H942" s="5"/>
    </row>
    <row r="943" spans="1:8" x14ac:dyDescent="0.3">
      <c r="A943" s="9">
        <f>ROW()-ROW($A$14)</f>
        <v>929</v>
      </c>
      <c r="B943" s="9" t="e">
        <f>IF(A943&lt;=$B$8,$B$6+(A943-1)*($B$7-$B$6)/MAX(1,$B$8-1),NA())</f>
        <v>#N/A</v>
      </c>
      <c r="C943" s="9" t="e">
        <f>RADIANS(B943)</f>
        <v>#N/A</v>
      </c>
      <c r="D943" s="9" t="e">
        <f>($B$3+$B$4)*COS(C943)-$B$4*COS((($B$3+$B$4)/$B$4)*C943)</f>
        <v>#N/A</v>
      </c>
      <c r="E943" s="9" t="e">
        <f>($B$3+$B$4)*SIN(C943)-$B$4*SIN((($B$3+$B$4)/$B$4)*C943)</f>
        <v>#N/A</v>
      </c>
      <c r="F943" s="5"/>
      <c r="G943" s="5"/>
      <c r="H943" s="5"/>
    </row>
    <row r="944" spans="1:8" x14ac:dyDescent="0.3">
      <c r="A944" s="9">
        <f>ROW()-ROW($A$14)</f>
        <v>930</v>
      </c>
      <c r="B944" s="9" t="e">
        <f>IF(A944&lt;=$B$8,$B$6+(A944-1)*($B$7-$B$6)/MAX(1,$B$8-1),NA())</f>
        <v>#N/A</v>
      </c>
      <c r="C944" s="9" t="e">
        <f>RADIANS(B944)</f>
        <v>#N/A</v>
      </c>
      <c r="D944" s="9" t="e">
        <f>($B$3+$B$4)*COS(C944)-$B$4*COS((($B$3+$B$4)/$B$4)*C944)</f>
        <v>#N/A</v>
      </c>
      <c r="E944" s="9" t="e">
        <f>($B$3+$B$4)*SIN(C944)-$B$4*SIN((($B$3+$B$4)/$B$4)*C944)</f>
        <v>#N/A</v>
      </c>
      <c r="F944" s="5"/>
      <c r="G944" s="5"/>
      <c r="H944" s="5"/>
    </row>
    <row r="945" spans="1:8" x14ac:dyDescent="0.3">
      <c r="A945" s="9">
        <f>ROW()-ROW($A$14)</f>
        <v>931</v>
      </c>
      <c r="B945" s="9" t="e">
        <f>IF(A945&lt;=$B$8,$B$6+(A945-1)*($B$7-$B$6)/MAX(1,$B$8-1),NA())</f>
        <v>#N/A</v>
      </c>
      <c r="C945" s="9" t="e">
        <f>RADIANS(B945)</f>
        <v>#N/A</v>
      </c>
      <c r="D945" s="9" t="e">
        <f>($B$3+$B$4)*COS(C945)-$B$4*COS((($B$3+$B$4)/$B$4)*C945)</f>
        <v>#N/A</v>
      </c>
      <c r="E945" s="9" t="e">
        <f>($B$3+$B$4)*SIN(C945)-$B$4*SIN((($B$3+$B$4)/$B$4)*C945)</f>
        <v>#N/A</v>
      </c>
      <c r="F945" s="5"/>
      <c r="G945" s="5"/>
      <c r="H945" s="5"/>
    </row>
    <row r="946" spans="1:8" x14ac:dyDescent="0.3">
      <c r="A946" s="9">
        <f>ROW()-ROW($A$14)</f>
        <v>932</v>
      </c>
      <c r="B946" s="9" t="e">
        <f>IF(A946&lt;=$B$8,$B$6+(A946-1)*($B$7-$B$6)/MAX(1,$B$8-1),NA())</f>
        <v>#N/A</v>
      </c>
      <c r="C946" s="9" t="e">
        <f>RADIANS(B946)</f>
        <v>#N/A</v>
      </c>
      <c r="D946" s="9" t="e">
        <f>($B$3+$B$4)*COS(C946)-$B$4*COS((($B$3+$B$4)/$B$4)*C946)</f>
        <v>#N/A</v>
      </c>
      <c r="E946" s="9" t="e">
        <f>($B$3+$B$4)*SIN(C946)-$B$4*SIN((($B$3+$B$4)/$B$4)*C946)</f>
        <v>#N/A</v>
      </c>
      <c r="F946" s="5"/>
      <c r="G946" s="5"/>
      <c r="H946" s="5"/>
    </row>
    <row r="947" spans="1:8" x14ac:dyDescent="0.3">
      <c r="A947" s="9">
        <f>ROW()-ROW($A$14)</f>
        <v>933</v>
      </c>
      <c r="B947" s="9" t="e">
        <f>IF(A947&lt;=$B$8,$B$6+(A947-1)*($B$7-$B$6)/MAX(1,$B$8-1),NA())</f>
        <v>#N/A</v>
      </c>
      <c r="C947" s="9" t="e">
        <f>RADIANS(B947)</f>
        <v>#N/A</v>
      </c>
      <c r="D947" s="9" t="e">
        <f>($B$3+$B$4)*COS(C947)-$B$4*COS((($B$3+$B$4)/$B$4)*C947)</f>
        <v>#N/A</v>
      </c>
      <c r="E947" s="9" t="e">
        <f>($B$3+$B$4)*SIN(C947)-$B$4*SIN((($B$3+$B$4)/$B$4)*C947)</f>
        <v>#N/A</v>
      </c>
      <c r="F947" s="5"/>
      <c r="G947" s="5"/>
      <c r="H947" s="5"/>
    </row>
    <row r="948" spans="1:8" x14ac:dyDescent="0.3">
      <c r="A948" s="9">
        <f>ROW()-ROW($A$14)</f>
        <v>934</v>
      </c>
      <c r="B948" s="9" t="e">
        <f>IF(A948&lt;=$B$8,$B$6+(A948-1)*($B$7-$B$6)/MAX(1,$B$8-1),NA())</f>
        <v>#N/A</v>
      </c>
      <c r="C948" s="9" t="e">
        <f>RADIANS(B948)</f>
        <v>#N/A</v>
      </c>
      <c r="D948" s="9" t="e">
        <f>($B$3+$B$4)*COS(C948)-$B$4*COS((($B$3+$B$4)/$B$4)*C948)</f>
        <v>#N/A</v>
      </c>
      <c r="E948" s="9" t="e">
        <f>($B$3+$B$4)*SIN(C948)-$B$4*SIN((($B$3+$B$4)/$B$4)*C948)</f>
        <v>#N/A</v>
      </c>
      <c r="F948" s="5"/>
      <c r="G948" s="5"/>
      <c r="H948" s="5"/>
    </row>
    <row r="949" spans="1:8" x14ac:dyDescent="0.3">
      <c r="A949" s="9">
        <f>ROW()-ROW($A$14)</f>
        <v>935</v>
      </c>
      <c r="B949" s="9" t="e">
        <f>IF(A949&lt;=$B$8,$B$6+(A949-1)*($B$7-$B$6)/MAX(1,$B$8-1),NA())</f>
        <v>#N/A</v>
      </c>
      <c r="C949" s="9" t="e">
        <f>RADIANS(B949)</f>
        <v>#N/A</v>
      </c>
      <c r="D949" s="9" t="e">
        <f>($B$3+$B$4)*COS(C949)-$B$4*COS((($B$3+$B$4)/$B$4)*C949)</f>
        <v>#N/A</v>
      </c>
      <c r="E949" s="9" t="e">
        <f>($B$3+$B$4)*SIN(C949)-$B$4*SIN((($B$3+$B$4)/$B$4)*C949)</f>
        <v>#N/A</v>
      </c>
      <c r="F949" s="5"/>
      <c r="G949" s="5"/>
      <c r="H949" s="5"/>
    </row>
    <row r="950" spans="1:8" x14ac:dyDescent="0.3">
      <c r="A950" s="9">
        <f>ROW()-ROW($A$14)</f>
        <v>936</v>
      </c>
      <c r="B950" s="9" t="e">
        <f>IF(A950&lt;=$B$8,$B$6+(A950-1)*($B$7-$B$6)/MAX(1,$B$8-1),NA())</f>
        <v>#N/A</v>
      </c>
      <c r="C950" s="9" t="e">
        <f>RADIANS(B950)</f>
        <v>#N/A</v>
      </c>
      <c r="D950" s="9" t="e">
        <f>($B$3+$B$4)*COS(C950)-$B$4*COS((($B$3+$B$4)/$B$4)*C950)</f>
        <v>#N/A</v>
      </c>
      <c r="E950" s="9" t="e">
        <f>($B$3+$B$4)*SIN(C950)-$B$4*SIN((($B$3+$B$4)/$B$4)*C950)</f>
        <v>#N/A</v>
      </c>
      <c r="F950" s="5"/>
      <c r="G950" s="5"/>
      <c r="H950" s="5"/>
    </row>
    <row r="951" spans="1:8" x14ac:dyDescent="0.3">
      <c r="A951" s="9">
        <f>ROW()-ROW($A$14)</f>
        <v>937</v>
      </c>
      <c r="B951" s="9" t="e">
        <f>IF(A951&lt;=$B$8,$B$6+(A951-1)*($B$7-$B$6)/MAX(1,$B$8-1),NA())</f>
        <v>#N/A</v>
      </c>
      <c r="C951" s="9" t="e">
        <f>RADIANS(B951)</f>
        <v>#N/A</v>
      </c>
      <c r="D951" s="9" t="e">
        <f>($B$3+$B$4)*COS(C951)-$B$4*COS((($B$3+$B$4)/$B$4)*C951)</f>
        <v>#N/A</v>
      </c>
      <c r="E951" s="9" t="e">
        <f>($B$3+$B$4)*SIN(C951)-$B$4*SIN((($B$3+$B$4)/$B$4)*C951)</f>
        <v>#N/A</v>
      </c>
      <c r="F951" s="5"/>
      <c r="G951" s="5"/>
      <c r="H951" s="5"/>
    </row>
    <row r="952" spans="1:8" x14ac:dyDescent="0.3">
      <c r="A952" s="9">
        <f>ROW()-ROW($A$14)</f>
        <v>938</v>
      </c>
      <c r="B952" s="9" t="e">
        <f>IF(A952&lt;=$B$8,$B$6+(A952-1)*($B$7-$B$6)/MAX(1,$B$8-1),NA())</f>
        <v>#N/A</v>
      </c>
      <c r="C952" s="9" t="e">
        <f>RADIANS(B952)</f>
        <v>#N/A</v>
      </c>
      <c r="D952" s="9" t="e">
        <f>($B$3+$B$4)*COS(C952)-$B$4*COS((($B$3+$B$4)/$B$4)*C952)</f>
        <v>#N/A</v>
      </c>
      <c r="E952" s="9" t="e">
        <f>($B$3+$B$4)*SIN(C952)-$B$4*SIN((($B$3+$B$4)/$B$4)*C952)</f>
        <v>#N/A</v>
      </c>
      <c r="F952" s="5"/>
      <c r="G952" s="5"/>
      <c r="H952" s="5"/>
    </row>
    <row r="953" spans="1:8" x14ac:dyDescent="0.3">
      <c r="A953" s="9">
        <f>ROW()-ROW($A$14)</f>
        <v>939</v>
      </c>
      <c r="B953" s="9" t="e">
        <f>IF(A953&lt;=$B$8,$B$6+(A953-1)*($B$7-$B$6)/MAX(1,$B$8-1),NA())</f>
        <v>#N/A</v>
      </c>
      <c r="C953" s="9" t="e">
        <f>RADIANS(B953)</f>
        <v>#N/A</v>
      </c>
      <c r="D953" s="9" t="e">
        <f>($B$3+$B$4)*COS(C953)-$B$4*COS((($B$3+$B$4)/$B$4)*C953)</f>
        <v>#N/A</v>
      </c>
      <c r="E953" s="9" t="e">
        <f>($B$3+$B$4)*SIN(C953)-$B$4*SIN((($B$3+$B$4)/$B$4)*C953)</f>
        <v>#N/A</v>
      </c>
      <c r="F953" s="5"/>
      <c r="G953" s="5"/>
      <c r="H953" s="5"/>
    </row>
    <row r="954" spans="1:8" x14ac:dyDescent="0.3">
      <c r="A954" s="9">
        <f>ROW()-ROW($A$14)</f>
        <v>940</v>
      </c>
      <c r="B954" s="9" t="e">
        <f>IF(A954&lt;=$B$8,$B$6+(A954-1)*($B$7-$B$6)/MAX(1,$B$8-1),NA())</f>
        <v>#N/A</v>
      </c>
      <c r="C954" s="9" t="e">
        <f>RADIANS(B954)</f>
        <v>#N/A</v>
      </c>
      <c r="D954" s="9" t="e">
        <f>($B$3+$B$4)*COS(C954)-$B$4*COS((($B$3+$B$4)/$B$4)*C954)</f>
        <v>#N/A</v>
      </c>
      <c r="E954" s="9" t="e">
        <f>($B$3+$B$4)*SIN(C954)-$B$4*SIN((($B$3+$B$4)/$B$4)*C954)</f>
        <v>#N/A</v>
      </c>
      <c r="F954" s="5"/>
      <c r="G954" s="5"/>
      <c r="H954" s="5"/>
    </row>
    <row r="955" spans="1:8" x14ac:dyDescent="0.3">
      <c r="A955" s="9">
        <f>ROW()-ROW($A$14)</f>
        <v>941</v>
      </c>
      <c r="B955" s="9" t="e">
        <f>IF(A955&lt;=$B$8,$B$6+(A955-1)*($B$7-$B$6)/MAX(1,$B$8-1),NA())</f>
        <v>#N/A</v>
      </c>
      <c r="C955" s="9" t="e">
        <f>RADIANS(B955)</f>
        <v>#N/A</v>
      </c>
      <c r="D955" s="9" t="e">
        <f>($B$3+$B$4)*COS(C955)-$B$4*COS((($B$3+$B$4)/$B$4)*C955)</f>
        <v>#N/A</v>
      </c>
      <c r="E955" s="9" t="e">
        <f>($B$3+$B$4)*SIN(C955)-$B$4*SIN((($B$3+$B$4)/$B$4)*C955)</f>
        <v>#N/A</v>
      </c>
      <c r="F955" s="5"/>
      <c r="G955" s="5"/>
      <c r="H955" s="5"/>
    </row>
    <row r="956" spans="1:8" x14ac:dyDescent="0.3">
      <c r="A956" s="9">
        <f>ROW()-ROW($A$14)</f>
        <v>942</v>
      </c>
      <c r="B956" s="9" t="e">
        <f>IF(A956&lt;=$B$8,$B$6+(A956-1)*($B$7-$B$6)/MAX(1,$B$8-1),NA())</f>
        <v>#N/A</v>
      </c>
      <c r="C956" s="9" t="e">
        <f>RADIANS(B956)</f>
        <v>#N/A</v>
      </c>
      <c r="D956" s="9" t="e">
        <f>($B$3+$B$4)*COS(C956)-$B$4*COS((($B$3+$B$4)/$B$4)*C956)</f>
        <v>#N/A</v>
      </c>
      <c r="E956" s="9" t="e">
        <f>($B$3+$B$4)*SIN(C956)-$B$4*SIN((($B$3+$B$4)/$B$4)*C956)</f>
        <v>#N/A</v>
      </c>
      <c r="F956" s="5"/>
      <c r="G956" s="5"/>
      <c r="H956" s="5"/>
    </row>
    <row r="957" spans="1:8" x14ac:dyDescent="0.3">
      <c r="A957" s="9">
        <f>ROW()-ROW($A$14)</f>
        <v>943</v>
      </c>
      <c r="B957" s="9" t="e">
        <f>IF(A957&lt;=$B$8,$B$6+(A957-1)*($B$7-$B$6)/MAX(1,$B$8-1),NA())</f>
        <v>#N/A</v>
      </c>
      <c r="C957" s="9" t="e">
        <f>RADIANS(B957)</f>
        <v>#N/A</v>
      </c>
      <c r="D957" s="9" t="e">
        <f>($B$3+$B$4)*COS(C957)-$B$4*COS((($B$3+$B$4)/$B$4)*C957)</f>
        <v>#N/A</v>
      </c>
      <c r="E957" s="9" t="e">
        <f>($B$3+$B$4)*SIN(C957)-$B$4*SIN((($B$3+$B$4)/$B$4)*C957)</f>
        <v>#N/A</v>
      </c>
      <c r="F957" s="5"/>
      <c r="G957" s="5"/>
      <c r="H957" s="5"/>
    </row>
    <row r="958" spans="1:8" x14ac:dyDescent="0.3">
      <c r="A958" s="9">
        <f>ROW()-ROW($A$14)</f>
        <v>944</v>
      </c>
      <c r="B958" s="9" t="e">
        <f>IF(A958&lt;=$B$8,$B$6+(A958-1)*($B$7-$B$6)/MAX(1,$B$8-1),NA())</f>
        <v>#N/A</v>
      </c>
      <c r="C958" s="9" t="e">
        <f>RADIANS(B958)</f>
        <v>#N/A</v>
      </c>
      <c r="D958" s="9" t="e">
        <f>($B$3+$B$4)*COS(C958)-$B$4*COS((($B$3+$B$4)/$B$4)*C958)</f>
        <v>#N/A</v>
      </c>
      <c r="E958" s="9" t="e">
        <f>($B$3+$B$4)*SIN(C958)-$B$4*SIN((($B$3+$B$4)/$B$4)*C958)</f>
        <v>#N/A</v>
      </c>
      <c r="F958" s="5"/>
      <c r="G958" s="5"/>
      <c r="H958" s="5"/>
    </row>
    <row r="959" spans="1:8" x14ac:dyDescent="0.3">
      <c r="A959" s="9">
        <f>ROW()-ROW($A$14)</f>
        <v>945</v>
      </c>
      <c r="B959" s="9" t="e">
        <f>IF(A959&lt;=$B$8,$B$6+(A959-1)*($B$7-$B$6)/MAX(1,$B$8-1),NA())</f>
        <v>#N/A</v>
      </c>
      <c r="C959" s="9" t="e">
        <f>RADIANS(B959)</f>
        <v>#N/A</v>
      </c>
      <c r="D959" s="9" t="e">
        <f>($B$3+$B$4)*COS(C959)-$B$4*COS((($B$3+$B$4)/$B$4)*C959)</f>
        <v>#N/A</v>
      </c>
      <c r="E959" s="9" t="e">
        <f>($B$3+$B$4)*SIN(C959)-$B$4*SIN((($B$3+$B$4)/$B$4)*C959)</f>
        <v>#N/A</v>
      </c>
      <c r="F959" s="5"/>
      <c r="G959" s="5"/>
      <c r="H959" s="5"/>
    </row>
    <row r="960" spans="1:8" x14ac:dyDescent="0.3">
      <c r="A960" s="9">
        <f>ROW()-ROW($A$14)</f>
        <v>946</v>
      </c>
      <c r="B960" s="9" t="e">
        <f>IF(A960&lt;=$B$8,$B$6+(A960-1)*($B$7-$B$6)/MAX(1,$B$8-1),NA())</f>
        <v>#N/A</v>
      </c>
      <c r="C960" s="9" t="e">
        <f>RADIANS(B960)</f>
        <v>#N/A</v>
      </c>
      <c r="D960" s="9" t="e">
        <f>($B$3+$B$4)*COS(C960)-$B$4*COS((($B$3+$B$4)/$B$4)*C960)</f>
        <v>#N/A</v>
      </c>
      <c r="E960" s="9" t="e">
        <f>($B$3+$B$4)*SIN(C960)-$B$4*SIN((($B$3+$B$4)/$B$4)*C960)</f>
        <v>#N/A</v>
      </c>
      <c r="F960" s="5"/>
      <c r="G960" s="5"/>
      <c r="H960" s="5"/>
    </row>
    <row r="961" spans="1:8" x14ac:dyDescent="0.3">
      <c r="A961" s="9">
        <f>ROW()-ROW($A$14)</f>
        <v>947</v>
      </c>
      <c r="B961" s="9" t="e">
        <f>IF(A961&lt;=$B$8,$B$6+(A961-1)*($B$7-$B$6)/MAX(1,$B$8-1),NA())</f>
        <v>#N/A</v>
      </c>
      <c r="C961" s="9" t="e">
        <f>RADIANS(B961)</f>
        <v>#N/A</v>
      </c>
      <c r="D961" s="9" t="e">
        <f>($B$3+$B$4)*COS(C961)-$B$4*COS((($B$3+$B$4)/$B$4)*C961)</f>
        <v>#N/A</v>
      </c>
      <c r="E961" s="9" t="e">
        <f>($B$3+$B$4)*SIN(C961)-$B$4*SIN((($B$3+$B$4)/$B$4)*C961)</f>
        <v>#N/A</v>
      </c>
      <c r="F961" s="5"/>
      <c r="G961" s="5"/>
      <c r="H961" s="5"/>
    </row>
    <row r="962" spans="1:8" x14ac:dyDescent="0.3">
      <c r="A962" s="9">
        <f>ROW()-ROW($A$14)</f>
        <v>948</v>
      </c>
      <c r="B962" s="9" t="e">
        <f>IF(A962&lt;=$B$8,$B$6+(A962-1)*($B$7-$B$6)/MAX(1,$B$8-1),NA())</f>
        <v>#N/A</v>
      </c>
      <c r="C962" s="9" t="e">
        <f>RADIANS(B962)</f>
        <v>#N/A</v>
      </c>
      <c r="D962" s="9" t="e">
        <f>($B$3+$B$4)*COS(C962)-$B$4*COS((($B$3+$B$4)/$B$4)*C962)</f>
        <v>#N/A</v>
      </c>
      <c r="E962" s="9" t="e">
        <f>($B$3+$B$4)*SIN(C962)-$B$4*SIN((($B$3+$B$4)/$B$4)*C962)</f>
        <v>#N/A</v>
      </c>
      <c r="F962" s="5"/>
      <c r="G962" s="5"/>
      <c r="H962" s="5"/>
    </row>
    <row r="963" spans="1:8" x14ac:dyDescent="0.3">
      <c r="A963" s="9">
        <f>ROW()-ROW($A$14)</f>
        <v>949</v>
      </c>
      <c r="B963" s="9" t="e">
        <f>IF(A963&lt;=$B$8,$B$6+(A963-1)*($B$7-$B$6)/MAX(1,$B$8-1),NA())</f>
        <v>#N/A</v>
      </c>
      <c r="C963" s="9" t="e">
        <f>RADIANS(B963)</f>
        <v>#N/A</v>
      </c>
      <c r="D963" s="9" t="e">
        <f>($B$3+$B$4)*COS(C963)-$B$4*COS((($B$3+$B$4)/$B$4)*C963)</f>
        <v>#N/A</v>
      </c>
      <c r="E963" s="9" t="e">
        <f>($B$3+$B$4)*SIN(C963)-$B$4*SIN((($B$3+$B$4)/$B$4)*C963)</f>
        <v>#N/A</v>
      </c>
      <c r="F963" s="5"/>
      <c r="G963" s="5"/>
      <c r="H963" s="5"/>
    </row>
    <row r="964" spans="1:8" x14ac:dyDescent="0.3">
      <c r="A964" s="9">
        <f>ROW()-ROW($A$14)</f>
        <v>950</v>
      </c>
      <c r="B964" s="9" t="e">
        <f>IF(A964&lt;=$B$8,$B$6+(A964-1)*($B$7-$B$6)/MAX(1,$B$8-1),NA())</f>
        <v>#N/A</v>
      </c>
      <c r="C964" s="9" t="e">
        <f>RADIANS(B964)</f>
        <v>#N/A</v>
      </c>
      <c r="D964" s="9" t="e">
        <f>($B$3+$B$4)*COS(C964)-$B$4*COS((($B$3+$B$4)/$B$4)*C964)</f>
        <v>#N/A</v>
      </c>
      <c r="E964" s="9" t="e">
        <f>($B$3+$B$4)*SIN(C964)-$B$4*SIN((($B$3+$B$4)/$B$4)*C964)</f>
        <v>#N/A</v>
      </c>
      <c r="F964" s="5"/>
      <c r="G964" s="5"/>
      <c r="H964" s="5"/>
    </row>
    <row r="965" spans="1:8" x14ac:dyDescent="0.3">
      <c r="A965" s="9">
        <f>ROW()-ROW($A$14)</f>
        <v>951</v>
      </c>
      <c r="B965" s="9" t="e">
        <f>IF(A965&lt;=$B$8,$B$6+(A965-1)*($B$7-$B$6)/MAX(1,$B$8-1),NA())</f>
        <v>#N/A</v>
      </c>
      <c r="C965" s="9" t="e">
        <f>RADIANS(B965)</f>
        <v>#N/A</v>
      </c>
      <c r="D965" s="9" t="e">
        <f>($B$3+$B$4)*COS(C965)-$B$4*COS((($B$3+$B$4)/$B$4)*C965)</f>
        <v>#N/A</v>
      </c>
      <c r="E965" s="9" t="e">
        <f>($B$3+$B$4)*SIN(C965)-$B$4*SIN((($B$3+$B$4)/$B$4)*C965)</f>
        <v>#N/A</v>
      </c>
      <c r="F965" s="5"/>
      <c r="G965" s="5"/>
      <c r="H965" s="5"/>
    </row>
    <row r="966" spans="1:8" x14ac:dyDescent="0.3">
      <c r="A966" s="9">
        <f>ROW()-ROW($A$14)</f>
        <v>952</v>
      </c>
      <c r="B966" s="9" t="e">
        <f>IF(A966&lt;=$B$8,$B$6+(A966-1)*($B$7-$B$6)/MAX(1,$B$8-1),NA())</f>
        <v>#N/A</v>
      </c>
      <c r="C966" s="9" t="e">
        <f>RADIANS(B966)</f>
        <v>#N/A</v>
      </c>
      <c r="D966" s="9" t="e">
        <f>($B$3+$B$4)*COS(C966)-$B$4*COS((($B$3+$B$4)/$B$4)*C966)</f>
        <v>#N/A</v>
      </c>
      <c r="E966" s="9" t="e">
        <f>($B$3+$B$4)*SIN(C966)-$B$4*SIN((($B$3+$B$4)/$B$4)*C966)</f>
        <v>#N/A</v>
      </c>
      <c r="F966" s="5"/>
      <c r="G966" s="5"/>
      <c r="H966" s="5"/>
    </row>
    <row r="967" spans="1:8" x14ac:dyDescent="0.3">
      <c r="A967" s="9">
        <f>ROW()-ROW($A$14)</f>
        <v>953</v>
      </c>
      <c r="B967" s="9" t="e">
        <f>IF(A967&lt;=$B$8,$B$6+(A967-1)*($B$7-$B$6)/MAX(1,$B$8-1),NA())</f>
        <v>#N/A</v>
      </c>
      <c r="C967" s="9" t="e">
        <f>RADIANS(B967)</f>
        <v>#N/A</v>
      </c>
      <c r="D967" s="9" t="e">
        <f>($B$3+$B$4)*COS(C967)-$B$4*COS((($B$3+$B$4)/$B$4)*C967)</f>
        <v>#N/A</v>
      </c>
      <c r="E967" s="9" t="e">
        <f>($B$3+$B$4)*SIN(C967)-$B$4*SIN((($B$3+$B$4)/$B$4)*C967)</f>
        <v>#N/A</v>
      </c>
      <c r="F967" s="5"/>
      <c r="G967" s="5"/>
      <c r="H967" s="5"/>
    </row>
    <row r="968" spans="1:8" x14ac:dyDescent="0.3">
      <c r="A968" s="9">
        <f>ROW()-ROW($A$14)</f>
        <v>954</v>
      </c>
      <c r="B968" s="9" t="e">
        <f>IF(A968&lt;=$B$8,$B$6+(A968-1)*($B$7-$B$6)/MAX(1,$B$8-1),NA())</f>
        <v>#N/A</v>
      </c>
      <c r="C968" s="9" t="e">
        <f>RADIANS(B968)</f>
        <v>#N/A</v>
      </c>
      <c r="D968" s="9" t="e">
        <f>($B$3+$B$4)*COS(C968)-$B$4*COS((($B$3+$B$4)/$B$4)*C968)</f>
        <v>#N/A</v>
      </c>
      <c r="E968" s="9" t="e">
        <f>($B$3+$B$4)*SIN(C968)-$B$4*SIN((($B$3+$B$4)/$B$4)*C968)</f>
        <v>#N/A</v>
      </c>
      <c r="F968" s="5"/>
      <c r="G968" s="5"/>
      <c r="H968" s="5"/>
    </row>
    <row r="969" spans="1:8" x14ac:dyDescent="0.3">
      <c r="A969" s="9">
        <f>ROW()-ROW($A$14)</f>
        <v>955</v>
      </c>
      <c r="B969" s="9" t="e">
        <f>IF(A969&lt;=$B$8,$B$6+(A969-1)*($B$7-$B$6)/MAX(1,$B$8-1),NA())</f>
        <v>#N/A</v>
      </c>
      <c r="C969" s="9" t="e">
        <f>RADIANS(B969)</f>
        <v>#N/A</v>
      </c>
      <c r="D969" s="9" t="e">
        <f>($B$3+$B$4)*COS(C969)-$B$4*COS((($B$3+$B$4)/$B$4)*C969)</f>
        <v>#N/A</v>
      </c>
      <c r="E969" s="9" t="e">
        <f>($B$3+$B$4)*SIN(C969)-$B$4*SIN((($B$3+$B$4)/$B$4)*C969)</f>
        <v>#N/A</v>
      </c>
      <c r="F969" s="5"/>
      <c r="G969" s="5"/>
      <c r="H969" s="5"/>
    </row>
    <row r="970" spans="1:8" x14ac:dyDescent="0.3">
      <c r="A970" s="9">
        <f>ROW()-ROW($A$14)</f>
        <v>956</v>
      </c>
      <c r="B970" s="9" t="e">
        <f>IF(A970&lt;=$B$8,$B$6+(A970-1)*($B$7-$B$6)/MAX(1,$B$8-1),NA())</f>
        <v>#N/A</v>
      </c>
      <c r="C970" s="9" t="e">
        <f>RADIANS(B970)</f>
        <v>#N/A</v>
      </c>
      <c r="D970" s="9" t="e">
        <f>($B$3+$B$4)*COS(C970)-$B$4*COS((($B$3+$B$4)/$B$4)*C970)</f>
        <v>#N/A</v>
      </c>
      <c r="E970" s="9" t="e">
        <f>($B$3+$B$4)*SIN(C970)-$B$4*SIN((($B$3+$B$4)/$B$4)*C970)</f>
        <v>#N/A</v>
      </c>
      <c r="F970" s="5"/>
      <c r="G970" s="5"/>
      <c r="H970" s="5"/>
    </row>
    <row r="971" spans="1:8" x14ac:dyDescent="0.3">
      <c r="A971" s="9">
        <f>ROW()-ROW($A$14)</f>
        <v>957</v>
      </c>
      <c r="B971" s="9" t="e">
        <f>IF(A971&lt;=$B$8,$B$6+(A971-1)*($B$7-$B$6)/MAX(1,$B$8-1),NA())</f>
        <v>#N/A</v>
      </c>
      <c r="C971" s="9" t="e">
        <f>RADIANS(B971)</f>
        <v>#N/A</v>
      </c>
      <c r="D971" s="9" t="e">
        <f>($B$3+$B$4)*COS(C971)-$B$4*COS((($B$3+$B$4)/$B$4)*C971)</f>
        <v>#N/A</v>
      </c>
      <c r="E971" s="9" t="e">
        <f>($B$3+$B$4)*SIN(C971)-$B$4*SIN((($B$3+$B$4)/$B$4)*C971)</f>
        <v>#N/A</v>
      </c>
      <c r="F971" s="5"/>
      <c r="G971" s="5"/>
      <c r="H971" s="5"/>
    </row>
    <row r="972" spans="1:8" x14ac:dyDescent="0.3">
      <c r="A972" s="9">
        <f>ROW()-ROW($A$14)</f>
        <v>958</v>
      </c>
      <c r="B972" s="9" t="e">
        <f>IF(A972&lt;=$B$8,$B$6+(A972-1)*($B$7-$B$6)/MAX(1,$B$8-1),NA())</f>
        <v>#N/A</v>
      </c>
      <c r="C972" s="9" t="e">
        <f>RADIANS(B972)</f>
        <v>#N/A</v>
      </c>
      <c r="D972" s="9" t="e">
        <f>($B$3+$B$4)*COS(C972)-$B$4*COS((($B$3+$B$4)/$B$4)*C972)</f>
        <v>#N/A</v>
      </c>
      <c r="E972" s="9" t="e">
        <f>($B$3+$B$4)*SIN(C972)-$B$4*SIN((($B$3+$B$4)/$B$4)*C972)</f>
        <v>#N/A</v>
      </c>
      <c r="F972" s="5"/>
      <c r="G972" s="5"/>
      <c r="H972" s="5"/>
    </row>
    <row r="973" spans="1:8" x14ac:dyDescent="0.3">
      <c r="A973" s="9">
        <f>ROW()-ROW($A$14)</f>
        <v>959</v>
      </c>
      <c r="B973" s="9" t="e">
        <f>IF(A973&lt;=$B$8,$B$6+(A973-1)*($B$7-$B$6)/MAX(1,$B$8-1),NA())</f>
        <v>#N/A</v>
      </c>
      <c r="C973" s="9" t="e">
        <f>RADIANS(B973)</f>
        <v>#N/A</v>
      </c>
      <c r="D973" s="9" t="e">
        <f>($B$3+$B$4)*COS(C973)-$B$4*COS((($B$3+$B$4)/$B$4)*C973)</f>
        <v>#N/A</v>
      </c>
      <c r="E973" s="9" t="e">
        <f>($B$3+$B$4)*SIN(C973)-$B$4*SIN((($B$3+$B$4)/$B$4)*C973)</f>
        <v>#N/A</v>
      </c>
      <c r="F973" s="5"/>
      <c r="G973" s="5"/>
      <c r="H973" s="5"/>
    </row>
    <row r="974" spans="1:8" x14ac:dyDescent="0.3">
      <c r="A974" s="9">
        <f>ROW()-ROW($A$14)</f>
        <v>960</v>
      </c>
      <c r="B974" s="9" t="e">
        <f>IF(A974&lt;=$B$8,$B$6+(A974-1)*($B$7-$B$6)/MAX(1,$B$8-1),NA())</f>
        <v>#N/A</v>
      </c>
      <c r="C974" s="9" t="e">
        <f>RADIANS(B974)</f>
        <v>#N/A</v>
      </c>
      <c r="D974" s="9" t="e">
        <f>($B$3+$B$4)*COS(C974)-$B$4*COS((($B$3+$B$4)/$B$4)*C974)</f>
        <v>#N/A</v>
      </c>
      <c r="E974" s="9" t="e">
        <f>($B$3+$B$4)*SIN(C974)-$B$4*SIN((($B$3+$B$4)/$B$4)*C974)</f>
        <v>#N/A</v>
      </c>
      <c r="F974" s="5"/>
      <c r="G974" s="5"/>
      <c r="H974" s="5"/>
    </row>
    <row r="975" spans="1:8" x14ac:dyDescent="0.3">
      <c r="A975" s="9">
        <f>ROW()-ROW($A$14)</f>
        <v>961</v>
      </c>
      <c r="B975" s="9" t="e">
        <f>IF(A975&lt;=$B$8,$B$6+(A975-1)*($B$7-$B$6)/MAX(1,$B$8-1),NA())</f>
        <v>#N/A</v>
      </c>
      <c r="C975" s="9" t="e">
        <f>RADIANS(B975)</f>
        <v>#N/A</v>
      </c>
      <c r="D975" s="9" t="e">
        <f>($B$3+$B$4)*COS(C975)-$B$4*COS((($B$3+$B$4)/$B$4)*C975)</f>
        <v>#N/A</v>
      </c>
      <c r="E975" s="9" t="e">
        <f>($B$3+$B$4)*SIN(C975)-$B$4*SIN((($B$3+$B$4)/$B$4)*C975)</f>
        <v>#N/A</v>
      </c>
      <c r="F975" s="5"/>
      <c r="G975" s="5"/>
      <c r="H975" s="5"/>
    </row>
    <row r="976" spans="1:8" x14ac:dyDescent="0.3">
      <c r="A976" s="9">
        <f>ROW()-ROW($A$14)</f>
        <v>962</v>
      </c>
      <c r="B976" s="9" t="e">
        <f>IF(A976&lt;=$B$8,$B$6+(A976-1)*($B$7-$B$6)/MAX(1,$B$8-1),NA())</f>
        <v>#N/A</v>
      </c>
      <c r="C976" s="9" t="e">
        <f>RADIANS(B976)</f>
        <v>#N/A</v>
      </c>
      <c r="D976" s="9" t="e">
        <f>($B$3+$B$4)*COS(C976)-$B$4*COS((($B$3+$B$4)/$B$4)*C976)</f>
        <v>#N/A</v>
      </c>
      <c r="E976" s="9" t="e">
        <f>($B$3+$B$4)*SIN(C976)-$B$4*SIN((($B$3+$B$4)/$B$4)*C976)</f>
        <v>#N/A</v>
      </c>
      <c r="F976" s="5"/>
      <c r="G976" s="5"/>
      <c r="H976" s="5"/>
    </row>
    <row r="977" spans="1:8" x14ac:dyDescent="0.3">
      <c r="A977" s="9">
        <f>ROW()-ROW($A$14)</f>
        <v>963</v>
      </c>
      <c r="B977" s="9" t="e">
        <f>IF(A977&lt;=$B$8,$B$6+(A977-1)*($B$7-$B$6)/MAX(1,$B$8-1),NA())</f>
        <v>#N/A</v>
      </c>
      <c r="C977" s="9" t="e">
        <f>RADIANS(B977)</f>
        <v>#N/A</v>
      </c>
      <c r="D977" s="9" t="e">
        <f>($B$3+$B$4)*COS(C977)-$B$4*COS((($B$3+$B$4)/$B$4)*C977)</f>
        <v>#N/A</v>
      </c>
      <c r="E977" s="9" t="e">
        <f>($B$3+$B$4)*SIN(C977)-$B$4*SIN((($B$3+$B$4)/$B$4)*C977)</f>
        <v>#N/A</v>
      </c>
      <c r="F977" s="5"/>
      <c r="G977" s="5"/>
      <c r="H977" s="5"/>
    </row>
    <row r="978" spans="1:8" x14ac:dyDescent="0.3">
      <c r="A978" s="9">
        <f>ROW()-ROW($A$14)</f>
        <v>964</v>
      </c>
      <c r="B978" s="9" t="e">
        <f>IF(A978&lt;=$B$8,$B$6+(A978-1)*($B$7-$B$6)/MAX(1,$B$8-1),NA())</f>
        <v>#N/A</v>
      </c>
      <c r="C978" s="9" t="e">
        <f>RADIANS(B978)</f>
        <v>#N/A</v>
      </c>
      <c r="D978" s="9" t="e">
        <f>($B$3+$B$4)*COS(C978)-$B$4*COS((($B$3+$B$4)/$B$4)*C978)</f>
        <v>#N/A</v>
      </c>
      <c r="E978" s="9" t="e">
        <f>($B$3+$B$4)*SIN(C978)-$B$4*SIN((($B$3+$B$4)/$B$4)*C978)</f>
        <v>#N/A</v>
      </c>
      <c r="F978" s="5"/>
      <c r="G978" s="5"/>
      <c r="H978" s="5"/>
    </row>
    <row r="979" spans="1:8" x14ac:dyDescent="0.3">
      <c r="A979" s="9">
        <f>ROW()-ROW($A$14)</f>
        <v>965</v>
      </c>
      <c r="B979" s="9" t="e">
        <f>IF(A979&lt;=$B$8,$B$6+(A979-1)*($B$7-$B$6)/MAX(1,$B$8-1),NA())</f>
        <v>#N/A</v>
      </c>
      <c r="C979" s="9" t="e">
        <f>RADIANS(B979)</f>
        <v>#N/A</v>
      </c>
      <c r="D979" s="9" t="e">
        <f>($B$3+$B$4)*COS(C979)-$B$4*COS((($B$3+$B$4)/$B$4)*C979)</f>
        <v>#N/A</v>
      </c>
      <c r="E979" s="9" t="e">
        <f>($B$3+$B$4)*SIN(C979)-$B$4*SIN((($B$3+$B$4)/$B$4)*C979)</f>
        <v>#N/A</v>
      </c>
      <c r="F979" s="5"/>
      <c r="G979" s="5"/>
      <c r="H979" s="5"/>
    </row>
    <row r="980" spans="1:8" x14ac:dyDescent="0.3">
      <c r="A980" s="9">
        <f>ROW()-ROW($A$14)</f>
        <v>966</v>
      </c>
      <c r="B980" s="9" t="e">
        <f>IF(A980&lt;=$B$8,$B$6+(A980-1)*($B$7-$B$6)/MAX(1,$B$8-1),NA())</f>
        <v>#N/A</v>
      </c>
      <c r="C980" s="9" t="e">
        <f>RADIANS(B980)</f>
        <v>#N/A</v>
      </c>
      <c r="D980" s="9" t="e">
        <f>($B$3+$B$4)*COS(C980)-$B$4*COS((($B$3+$B$4)/$B$4)*C980)</f>
        <v>#N/A</v>
      </c>
      <c r="E980" s="9" t="e">
        <f>($B$3+$B$4)*SIN(C980)-$B$4*SIN((($B$3+$B$4)/$B$4)*C980)</f>
        <v>#N/A</v>
      </c>
      <c r="F980" s="5"/>
      <c r="G980" s="5"/>
      <c r="H980" s="5"/>
    </row>
    <row r="981" spans="1:8" x14ac:dyDescent="0.3">
      <c r="A981" s="9">
        <f>ROW()-ROW($A$14)</f>
        <v>967</v>
      </c>
      <c r="B981" s="9" t="e">
        <f>IF(A981&lt;=$B$8,$B$6+(A981-1)*($B$7-$B$6)/MAX(1,$B$8-1),NA())</f>
        <v>#N/A</v>
      </c>
      <c r="C981" s="9" t="e">
        <f>RADIANS(B981)</f>
        <v>#N/A</v>
      </c>
      <c r="D981" s="9" t="e">
        <f>($B$3+$B$4)*COS(C981)-$B$4*COS((($B$3+$B$4)/$B$4)*C981)</f>
        <v>#N/A</v>
      </c>
      <c r="E981" s="9" t="e">
        <f>($B$3+$B$4)*SIN(C981)-$B$4*SIN((($B$3+$B$4)/$B$4)*C981)</f>
        <v>#N/A</v>
      </c>
      <c r="F981" s="5"/>
      <c r="G981" s="5"/>
      <c r="H981" s="5"/>
    </row>
    <row r="982" spans="1:8" x14ac:dyDescent="0.3">
      <c r="A982" s="9">
        <f>ROW()-ROW($A$14)</f>
        <v>968</v>
      </c>
      <c r="B982" s="9" t="e">
        <f>IF(A982&lt;=$B$8,$B$6+(A982-1)*($B$7-$B$6)/MAX(1,$B$8-1),NA())</f>
        <v>#N/A</v>
      </c>
      <c r="C982" s="9" t="e">
        <f>RADIANS(B982)</f>
        <v>#N/A</v>
      </c>
      <c r="D982" s="9" t="e">
        <f>($B$3+$B$4)*COS(C982)-$B$4*COS((($B$3+$B$4)/$B$4)*C982)</f>
        <v>#N/A</v>
      </c>
      <c r="E982" s="9" t="e">
        <f>($B$3+$B$4)*SIN(C982)-$B$4*SIN((($B$3+$B$4)/$B$4)*C982)</f>
        <v>#N/A</v>
      </c>
      <c r="F982" s="5"/>
      <c r="G982" s="5"/>
      <c r="H982" s="5"/>
    </row>
    <row r="983" spans="1:8" x14ac:dyDescent="0.3">
      <c r="A983" s="9">
        <f>ROW()-ROW($A$14)</f>
        <v>969</v>
      </c>
      <c r="B983" s="9" t="e">
        <f>IF(A983&lt;=$B$8,$B$6+(A983-1)*($B$7-$B$6)/MAX(1,$B$8-1),NA())</f>
        <v>#N/A</v>
      </c>
      <c r="C983" s="9" t="e">
        <f>RADIANS(B983)</f>
        <v>#N/A</v>
      </c>
      <c r="D983" s="9" t="e">
        <f>($B$3+$B$4)*COS(C983)-$B$4*COS((($B$3+$B$4)/$B$4)*C983)</f>
        <v>#N/A</v>
      </c>
      <c r="E983" s="9" t="e">
        <f>($B$3+$B$4)*SIN(C983)-$B$4*SIN((($B$3+$B$4)/$B$4)*C983)</f>
        <v>#N/A</v>
      </c>
      <c r="F983" s="5"/>
      <c r="G983" s="5"/>
      <c r="H983" s="5"/>
    </row>
    <row r="984" spans="1:8" x14ac:dyDescent="0.3">
      <c r="A984" s="9">
        <f>ROW()-ROW($A$14)</f>
        <v>970</v>
      </c>
      <c r="B984" s="9" t="e">
        <f>IF(A984&lt;=$B$8,$B$6+(A984-1)*($B$7-$B$6)/MAX(1,$B$8-1),NA())</f>
        <v>#N/A</v>
      </c>
      <c r="C984" s="9" t="e">
        <f>RADIANS(B984)</f>
        <v>#N/A</v>
      </c>
      <c r="D984" s="9" t="e">
        <f>($B$3+$B$4)*COS(C984)-$B$4*COS((($B$3+$B$4)/$B$4)*C984)</f>
        <v>#N/A</v>
      </c>
      <c r="E984" s="9" t="e">
        <f>($B$3+$B$4)*SIN(C984)-$B$4*SIN((($B$3+$B$4)/$B$4)*C984)</f>
        <v>#N/A</v>
      </c>
      <c r="F984" s="5"/>
      <c r="G984" s="5"/>
      <c r="H984" s="5"/>
    </row>
    <row r="985" spans="1:8" x14ac:dyDescent="0.3">
      <c r="A985" s="9">
        <f>ROW()-ROW($A$14)</f>
        <v>971</v>
      </c>
      <c r="B985" s="9" t="e">
        <f>IF(A985&lt;=$B$8,$B$6+(A985-1)*($B$7-$B$6)/MAX(1,$B$8-1),NA())</f>
        <v>#N/A</v>
      </c>
      <c r="C985" s="9" t="e">
        <f>RADIANS(B985)</f>
        <v>#N/A</v>
      </c>
      <c r="D985" s="9" t="e">
        <f>($B$3+$B$4)*COS(C985)-$B$4*COS((($B$3+$B$4)/$B$4)*C985)</f>
        <v>#N/A</v>
      </c>
      <c r="E985" s="9" t="e">
        <f>($B$3+$B$4)*SIN(C985)-$B$4*SIN((($B$3+$B$4)/$B$4)*C985)</f>
        <v>#N/A</v>
      </c>
      <c r="F985" s="5"/>
      <c r="G985" s="5"/>
      <c r="H985" s="5"/>
    </row>
    <row r="986" spans="1:8" x14ac:dyDescent="0.3">
      <c r="A986" s="9">
        <f>ROW()-ROW($A$14)</f>
        <v>972</v>
      </c>
      <c r="B986" s="9" t="e">
        <f>IF(A986&lt;=$B$8,$B$6+(A986-1)*($B$7-$B$6)/MAX(1,$B$8-1),NA())</f>
        <v>#N/A</v>
      </c>
      <c r="C986" s="9" t="e">
        <f>RADIANS(B986)</f>
        <v>#N/A</v>
      </c>
      <c r="D986" s="9" t="e">
        <f>($B$3+$B$4)*COS(C986)-$B$4*COS((($B$3+$B$4)/$B$4)*C986)</f>
        <v>#N/A</v>
      </c>
      <c r="E986" s="9" t="e">
        <f>($B$3+$B$4)*SIN(C986)-$B$4*SIN((($B$3+$B$4)/$B$4)*C986)</f>
        <v>#N/A</v>
      </c>
      <c r="F986" s="5"/>
      <c r="G986" s="5"/>
      <c r="H986" s="5"/>
    </row>
    <row r="987" spans="1:8" x14ac:dyDescent="0.3">
      <c r="A987" s="9">
        <f>ROW()-ROW($A$14)</f>
        <v>973</v>
      </c>
      <c r="B987" s="9" t="e">
        <f>IF(A987&lt;=$B$8,$B$6+(A987-1)*($B$7-$B$6)/MAX(1,$B$8-1),NA())</f>
        <v>#N/A</v>
      </c>
      <c r="C987" s="9" t="e">
        <f>RADIANS(B987)</f>
        <v>#N/A</v>
      </c>
      <c r="D987" s="9" t="e">
        <f>($B$3+$B$4)*COS(C987)-$B$4*COS((($B$3+$B$4)/$B$4)*C987)</f>
        <v>#N/A</v>
      </c>
      <c r="E987" s="9" t="e">
        <f>($B$3+$B$4)*SIN(C987)-$B$4*SIN((($B$3+$B$4)/$B$4)*C987)</f>
        <v>#N/A</v>
      </c>
      <c r="F987" s="5"/>
      <c r="G987" s="5"/>
      <c r="H987" s="5"/>
    </row>
    <row r="988" spans="1:8" x14ac:dyDescent="0.3">
      <c r="A988" s="9">
        <f>ROW()-ROW($A$14)</f>
        <v>974</v>
      </c>
      <c r="B988" s="9" t="e">
        <f>IF(A988&lt;=$B$8,$B$6+(A988-1)*($B$7-$B$6)/MAX(1,$B$8-1),NA())</f>
        <v>#N/A</v>
      </c>
      <c r="C988" s="9" t="e">
        <f>RADIANS(B988)</f>
        <v>#N/A</v>
      </c>
      <c r="D988" s="9" t="e">
        <f>($B$3+$B$4)*COS(C988)-$B$4*COS((($B$3+$B$4)/$B$4)*C988)</f>
        <v>#N/A</v>
      </c>
      <c r="E988" s="9" t="e">
        <f>($B$3+$B$4)*SIN(C988)-$B$4*SIN((($B$3+$B$4)/$B$4)*C988)</f>
        <v>#N/A</v>
      </c>
      <c r="F988" s="5"/>
      <c r="G988" s="5"/>
      <c r="H988" s="5"/>
    </row>
    <row r="989" spans="1:8" x14ac:dyDescent="0.3">
      <c r="A989" s="9">
        <f>ROW()-ROW($A$14)</f>
        <v>975</v>
      </c>
      <c r="B989" s="9" t="e">
        <f>IF(A989&lt;=$B$8,$B$6+(A989-1)*($B$7-$B$6)/MAX(1,$B$8-1),NA())</f>
        <v>#N/A</v>
      </c>
      <c r="C989" s="9" t="e">
        <f>RADIANS(B989)</f>
        <v>#N/A</v>
      </c>
      <c r="D989" s="9" t="e">
        <f>($B$3+$B$4)*COS(C989)-$B$4*COS((($B$3+$B$4)/$B$4)*C989)</f>
        <v>#N/A</v>
      </c>
      <c r="E989" s="9" t="e">
        <f>($B$3+$B$4)*SIN(C989)-$B$4*SIN((($B$3+$B$4)/$B$4)*C989)</f>
        <v>#N/A</v>
      </c>
      <c r="F989" s="5"/>
      <c r="G989" s="5"/>
      <c r="H989" s="5"/>
    </row>
    <row r="990" spans="1:8" x14ac:dyDescent="0.3">
      <c r="A990" s="9">
        <f>ROW()-ROW($A$14)</f>
        <v>976</v>
      </c>
      <c r="B990" s="9" t="e">
        <f>IF(A990&lt;=$B$8,$B$6+(A990-1)*($B$7-$B$6)/MAX(1,$B$8-1),NA())</f>
        <v>#N/A</v>
      </c>
      <c r="C990" s="9" t="e">
        <f>RADIANS(B990)</f>
        <v>#N/A</v>
      </c>
      <c r="D990" s="9" t="e">
        <f>($B$3+$B$4)*COS(C990)-$B$4*COS((($B$3+$B$4)/$B$4)*C990)</f>
        <v>#N/A</v>
      </c>
      <c r="E990" s="9" t="e">
        <f>($B$3+$B$4)*SIN(C990)-$B$4*SIN((($B$3+$B$4)/$B$4)*C990)</f>
        <v>#N/A</v>
      </c>
      <c r="F990" s="5"/>
      <c r="G990" s="5"/>
      <c r="H990" s="5"/>
    </row>
    <row r="991" spans="1:8" x14ac:dyDescent="0.3">
      <c r="A991" s="9">
        <f>ROW()-ROW($A$14)</f>
        <v>977</v>
      </c>
      <c r="B991" s="9" t="e">
        <f>IF(A991&lt;=$B$8,$B$6+(A991-1)*($B$7-$B$6)/MAX(1,$B$8-1),NA())</f>
        <v>#N/A</v>
      </c>
      <c r="C991" s="9" t="e">
        <f>RADIANS(B991)</f>
        <v>#N/A</v>
      </c>
      <c r="D991" s="9" t="e">
        <f>($B$3+$B$4)*COS(C991)-$B$4*COS((($B$3+$B$4)/$B$4)*C991)</f>
        <v>#N/A</v>
      </c>
      <c r="E991" s="9" t="e">
        <f>($B$3+$B$4)*SIN(C991)-$B$4*SIN((($B$3+$B$4)/$B$4)*C991)</f>
        <v>#N/A</v>
      </c>
      <c r="F991" s="5"/>
      <c r="G991" s="5"/>
      <c r="H991" s="5"/>
    </row>
    <row r="992" spans="1:8" x14ac:dyDescent="0.3">
      <c r="A992" s="9">
        <f>ROW()-ROW($A$14)</f>
        <v>978</v>
      </c>
      <c r="B992" s="9" t="e">
        <f>IF(A992&lt;=$B$8,$B$6+(A992-1)*($B$7-$B$6)/MAX(1,$B$8-1),NA())</f>
        <v>#N/A</v>
      </c>
      <c r="C992" s="9" t="e">
        <f>RADIANS(B992)</f>
        <v>#N/A</v>
      </c>
      <c r="D992" s="9" t="e">
        <f>($B$3+$B$4)*COS(C992)-$B$4*COS((($B$3+$B$4)/$B$4)*C992)</f>
        <v>#N/A</v>
      </c>
      <c r="E992" s="9" t="e">
        <f>($B$3+$B$4)*SIN(C992)-$B$4*SIN((($B$3+$B$4)/$B$4)*C992)</f>
        <v>#N/A</v>
      </c>
      <c r="F992" s="5"/>
      <c r="G992" s="5"/>
      <c r="H992" s="5"/>
    </row>
    <row r="993" spans="1:8" x14ac:dyDescent="0.3">
      <c r="A993" s="9">
        <f>ROW()-ROW($A$14)</f>
        <v>979</v>
      </c>
      <c r="B993" s="9" t="e">
        <f>IF(A993&lt;=$B$8,$B$6+(A993-1)*($B$7-$B$6)/MAX(1,$B$8-1),NA())</f>
        <v>#N/A</v>
      </c>
      <c r="C993" s="9" t="e">
        <f>RADIANS(B993)</f>
        <v>#N/A</v>
      </c>
      <c r="D993" s="9" t="e">
        <f>($B$3+$B$4)*COS(C993)-$B$4*COS((($B$3+$B$4)/$B$4)*C993)</f>
        <v>#N/A</v>
      </c>
      <c r="E993" s="9" t="e">
        <f>($B$3+$B$4)*SIN(C993)-$B$4*SIN((($B$3+$B$4)/$B$4)*C993)</f>
        <v>#N/A</v>
      </c>
      <c r="F993" s="5"/>
      <c r="G993" s="5"/>
      <c r="H993" s="5"/>
    </row>
    <row r="994" spans="1:8" x14ac:dyDescent="0.3">
      <c r="A994" s="9">
        <f>ROW()-ROW($A$14)</f>
        <v>980</v>
      </c>
      <c r="B994" s="9" t="e">
        <f>IF(A994&lt;=$B$8,$B$6+(A994-1)*($B$7-$B$6)/MAX(1,$B$8-1),NA())</f>
        <v>#N/A</v>
      </c>
      <c r="C994" s="9" t="e">
        <f>RADIANS(B994)</f>
        <v>#N/A</v>
      </c>
      <c r="D994" s="9" t="e">
        <f>($B$3+$B$4)*COS(C994)-$B$4*COS((($B$3+$B$4)/$B$4)*C994)</f>
        <v>#N/A</v>
      </c>
      <c r="E994" s="9" t="e">
        <f>($B$3+$B$4)*SIN(C994)-$B$4*SIN((($B$3+$B$4)/$B$4)*C994)</f>
        <v>#N/A</v>
      </c>
      <c r="F994" s="5"/>
      <c r="G994" s="5"/>
      <c r="H994" s="5"/>
    </row>
    <row r="995" spans="1:8" x14ac:dyDescent="0.3">
      <c r="A995" s="9">
        <f>ROW()-ROW($A$14)</f>
        <v>981</v>
      </c>
      <c r="B995" s="9" t="e">
        <f>IF(A995&lt;=$B$8,$B$6+(A995-1)*($B$7-$B$6)/MAX(1,$B$8-1),NA())</f>
        <v>#N/A</v>
      </c>
      <c r="C995" s="9" t="e">
        <f>RADIANS(B995)</f>
        <v>#N/A</v>
      </c>
      <c r="D995" s="9" t="e">
        <f>($B$3+$B$4)*COS(C995)-$B$4*COS((($B$3+$B$4)/$B$4)*C995)</f>
        <v>#N/A</v>
      </c>
      <c r="E995" s="9" t="e">
        <f>($B$3+$B$4)*SIN(C995)-$B$4*SIN((($B$3+$B$4)/$B$4)*C995)</f>
        <v>#N/A</v>
      </c>
      <c r="F995" s="5"/>
      <c r="G995" s="5"/>
      <c r="H995" s="5"/>
    </row>
    <row r="996" spans="1:8" x14ac:dyDescent="0.3">
      <c r="A996" s="9">
        <f>ROW()-ROW($A$14)</f>
        <v>982</v>
      </c>
      <c r="B996" s="9" t="e">
        <f>IF(A996&lt;=$B$8,$B$6+(A996-1)*($B$7-$B$6)/MAX(1,$B$8-1),NA())</f>
        <v>#N/A</v>
      </c>
      <c r="C996" s="9" t="e">
        <f>RADIANS(B996)</f>
        <v>#N/A</v>
      </c>
      <c r="D996" s="9" t="e">
        <f>($B$3+$B$4)*COS(C996)-$B$4*COS((($B$3+$B$4)/$B$4)*C996)</f>
        <v>#N/A</v>
      </c>
      <c r="E996" s="9" t="e">
        <f>($B$3+$B$4)*SIN(C996)-$B$4*SIN((($B$3+$B$4)/$B$4)*C996)</f>
        <v>#N/A</v>
      </c>
      <c r="F996" s="5"/>
      <c r="G996" s="5"/>
      <c r="H996" s="5"/>
    </row>
    <row r="997" spans="1:8" x14ac:dyDescent="0.3">
      <c r="A997" s="9">
        <f>ROW()-ROW($A$14)</f>
        <v>983</v>
      </c>
      <c r="B997" s="9" t="e">
        <f>IF(A997&lt;=$B$8,$B$6+(A997-1)*($B$7-$B$6)/MAX(1,$B$8-1),NA())</f>
        <v>#N/A</v>
      </c>
      <c r="C997" s="9" t="e">
        <f>RADIANS(B997)</f>
        <v>#N/A</v>
      </c>
      <c r="D997" s="9" t="e">
        <f>($B$3+$B$4)*COS(C997)-$B$4*COS((($B$3+$B$4)/$B$4)*C997)</f>
        <v>#N/A</v>
      </c>
      <c r="E997" s="9" t="e">
        <f>($B$3+$B$4)*SIN(C997)-$B$4*SIN((($B$3+$B$4)/$B$4)*C997)</f>
        <v>#N/A</v>
      </c>
      <c r="F997" s="5"/>
      <c r="G997" s="5"/>
      <c r="H997" s="5"/>
    </row>
    <row r="998" spans="1:8" x14ac:dyDescent="0.3">
      <c r="A998" s="9">
        <f>ROW()-ROW($A$14)</f>
        <v>984</v>
      </c>
      <c r="B998" s="9" t="e">
        <f>IF(A998&lt;=$B$8,$B$6+(A998-1)*($B$7-$B$6)/MAX(1,$B$8-1),NA())</f>
        <v>#N/A</v>
      </c>
      <c r="C998" s="9" t="e">
        <f>RADIANS(B998)</f>
        <v>#N/A</v>
      </c>
      <c r="D998" s="9" t="e">
        <f>($B$3+$B$4)*COS(C998)-$B$4*COS((($B$3+$B$4)/$B$4)*C998)</f>
        <v>#N/A</v>
      </c>
      <c r="E998" s="9" t="e">
        <f>($B$3+$B$4)*SIN(C998)-$B$4*SIN((($B$3+$B$4)/$B$4)*C998)</f>
        <v>#N/A</v>
      </c>
      <c r="F998" s="5"/>
      <c r="G998" s="5"/>
      <c r="H998" s="5"/>
    </row>
    <row r="999" spans="1:8" x14ac:dyDescent="0.3">
      <c r="A999" s="9">
        <f>ROW()-ROW($A$14)</f>
        <v>985</v>
      </c>
      <c r="B999" s="9" t="e">
        <f>IF(A999&lt;=$B$8,$B$6+(A999-1)*($B$7-$B$6)/MAX(1,$B$8-1),NA())</f>
        <v>#N/A</v>
      </c>
      <c r="C999" s="9" t="e">
        <f>RADIANS(B999)</f>
        <v>#N/A</v>
      </c>
      <c r="D999" s="9" t="e">
        <f>($B$3+$B$4)*COS(C999)-$B$4*COS((($B$3+$B$4)/$B$4)*C999)</f>
        <v>#N/A</v>
      </c>
      <c r="E999" s="9" t="e">
        <f>($B$3+$B$4)*SIN(C999)-$B$4*SIN((($B$3+$B$4)/$B$4)*C999)</f>
        <v>#N/A</v>
      </c>
      <c r="F999" s="5"/>
      <c r="G999" s="5"/>
      <c r="H999" s="5"/>
    </row>
    <row r="1000" spans="1:8" x14ac:dyDescent="0.3">
      <c r="A1000" s="9">
        <f>ROW()-ROW($A$14)</f>
        <v>986</v>
      </c>
      <c r="B1000" s="9" t="e">
        <f>IF(A1000&lt;=$B$8,$B$6+(A1000-1)*($B$7-$B$6)/MAX(1,$B$8-1),NA())</f>
        <v>#N/A</v>
      </c>
      <c r="C1000" s="9" t="e">
        <f>RADIANS(B1000)</f>
        <v>#N/A</v>
      </c>
      <c r="D1000" s="9" t="e">
        <f>($B$3+$B$4)*COS(C1000)-$B$4*COS((($B$3+$B$4)/$B$4)*C1000)</f>
        <v>#N/A</v>
      </c>
      <c r="E1000" s="9" t="e">
        <f>($B$3+$B$4)*SIN(C1000)-$B$4*SIN((($B$3+$B$4)/$B$4)*C1000)</f>
        <v>#N/A</v>
      </c>
      <c r="F1000" s="5"/>
      <c r="G1000" s="5"/>
      <c r="H1000" s="5"/>
    </row>
    <row r="1001" spans="1:8" x14ac:dyDescent="0.3">
      <c r="A1001" s="9">
        <f>ROW()-ROW($A$14)</f>
        <v>987</v>
      </c>
      <c r="B1001" s="9" t="e">
        <f>IF(A1001&lt;=$B$8,$B$6+(A1001-1)*($B$7-$B$6)/MAX(1,$B$8-1),NA())</f>
        <v>#N/A</v>
      </c>
      <c r="C1001" s="9" t="e">
        <f>RADIANS(B1001)</f>
        <v>#N/A</v>
      </c>
      <c r="D1001" s="9" t="e">
        <f>($B$3+$B$4)*COS(C1001)-$B$4*COS((($B$3+$B$4)/$B$4)*C1001)</f>
        <v>#N/A</v>
      </c>
      <c r="E1001" s="9" t="e">
        <f>($B$3+$B$4)*SIN(C1001)-$B$4*SIN((($B$3+$B$4)/$B$4)*C1001)</f>
        <v>#N/A</v>
      </c>
      <c r="F1001" s="5"/>
      <c r="G1001" s="5"/>
      <c r="H1001" s="5"/>
    </row>
    <row r="1002" spans="1:8" x14ac:dyDescent="0.3">
      <c r="A1002" s="9">
        <f>ROW()-ROW($A$14)</f>
        <v>988</v>
      </c>
      <c r="B1002" s="9" t="e">
        <f>IF(A1002&lt;=$B$8,$B$6+(A1002-1)*($B$7-$B$6)/MAX(1,$B$8-1),NA())</f>
        <v>#N/A</v>
      </c>
      <c r="C1002" s="9" t="e">
        <f>RADIANS(B1002)</f>
        <v>#N/A</v>
      </c>
      <c r="D1002" s="9" t="e">
        <f>($B$3+$B$4)*COS(C1002)-$B$4*COS((($B$3+$B$4)/$B$4)*C1002)</f>
        <v>#N/A</v>
      </c>
      <c r="E1002" s="9" t="e">
        <f>($B$3+$B$4)*SIN(C1002)-$B$4*SIN((($B$3+$B$4)/$B$4)*C1002)</f>
        <v>#N/A</v>
      </c>
      <c r="F1002" s="5"/>
      <c r="G1002" s="5"/>
      <c r="H1002" s="5"/>
    </row>
    <row r="1003" spans="1:8" x14ac:dyDescent="0.3">
      <c r="A1003" s="9">
        <f>ROW()-ROW($A$14)</f>
        <v>989</v>
      </c>
      <c r="B1003" s="9" t="e">
        <f>IF(A1003&lt;=$B$8,$B$6+(A1003-1)*($B$7-$B$6)/MAX(1,$B$8-1),NA())</f>
        <v>#N/A</v>
      </c>
      <c r="C1003" s="9" t="e">
        <f>RADIANS(B1003)</f>
        <v>#N/A</v>
      </c>
      <c r="D1003" s="9" t="e">
        <f>($B$3+$B$4)*COS(C1003)-$B$4*COS((($B$3+$B$4)/$B$4)*C1003)</f>
        <v>#N/A</v>
      </c>
      <c r="E1003" s="9" t="e">
        <f>($B$3+$B$4)*SIN(C1003)-$B$4*SIN((($B$3+$B$4)/$B$4)*C1003)</f>
        <v>#N/A</v>
      </c>
      <c r="F1003" s="5"/>
      <c r="G1003" s="5"/>
      <c r="H1003" s="5"/>
    </row>
    <row r="1004" spans="1:8" x14ac:dyDescent="0.3">
      <c r="A1004" s="9">
        <f>ROW()-ROW($A$14)</f>
        <v>990</v>
      </c>
      <c r="B1004" s="9" t="e">
        <f>IF(A1004&lt;=$B$8,$B$6+(A1004-1)*($B$7-$B$6)/MAX(1,$B$8-1),NA())</f>
        <v>#N/A</v>
      </c>
      <c r="C1004" s="9" t="e">
        <f>RADIANS(B1004)</f>
        <v>#N/A</v>
      </c>
      <c r="D1004" s="9" t="e">
        <f>($B$3+$B$4)*COS(C1004)-$B$4*COS((($B$3+$B$4)/$B$4)*C1004)</f>
        <v>#N/A</v>
      </c>
      <c r="E1004" s="9" t="e">
        <f>($B$3+$B$4)*SIN(C1004)-$B$4*SIN((($B$3+$B$4)/$B$4)*C1004)</f>
        <v>#N/A</v>
      </c>
      <c r="F1004" s="5"/>
      <c r="G1004" s="5"/>
      <c r="H1004" s="5"/>
    </row>
    <row r="1005" spans="1:8" x14ac:dyDescent="0.3">
      <c r="A1005" s="9">
        <f>ROW()-ROW($A$14)</f>
        <v>991</v>
      </c>
      <c r="B1005" s="9" t="e">
        <f>IF(A1005&lt;=$B$8,$B$6+(A1005-1)*($B$7-$B$6)/MAX(1,$B$8-1),NA())</f>
        <v>#N/A</v>
      </c>
      <c r="C1005" s="9" t="e">
        <f>RADIANS(B1005)</f>
        <v>#N/A</v>
      </c>
      <c r="D1005" s="9" t="e">
        <f>($B$3+$B$4)*COS(C1005)-$B$4*COS((($B$3+$B$4)/$B$4)*C1005)</f>
        <v>#N/A</v>
      </c>
      <c r="E1005" s="9" t="e">
        <f>($B$3+$B$4)*SIN(C1005)-$B$4*SIN((($B$3+$B$4)/$B$4)*C1005)</f>
        <v>#N/A</v>
      </c>
      <c r="F1005" s="5"/>
      <c r="G1005" s="5"/>
      <c r="H1005" s="5"/>
    </row>
    <row r="1006" spans="1:8" x14ac:dyDescent="0.3">
      <c r="A1006" s="9">
        <f>ROW()-ROW($A$14)</f>
        <v>992</v>
      </c>
      <c r="B1006" s="9" t="e">
        <f>IF(A1006&lt;=$B$8,$B$6+(A1006-1)*($B$7-$B$6)/MAX(1,$B$8-1),NA())</f>
        <v>#N/A</v>
      </c>
      <c r="C1006" s="9" t="e">
        <f>RADIANS(B1006)</f>
        <v>#N/A</v>
      </c>
      <c r="D1006" s="9" t="e">
        <f>($B$3+$B$4)*COS(C1006)-$B$4*COS((($B$3+$B$4)/$B$4)*C1006)</f>
        <v>#N/A</v>
      </c>
      <c r="E1006" s="9" t="e">
        <f>($B$3+$B$4)*SIN(C1006)-$B$4*SIN((($B$3+$B$4)/$B$4)*C1006)</f>
        <v>#N/A</v>
      </c>
      <c r="F1006" s="5"/>
      <c r="G1006" s="5"/>
      <c r="H1006" s="5"/>
    </row>
    <row r="1007" spans="1:8" x14ac:dyDescent="0.3">
      <c r="A1007" s="9">
        <f>ROW()-ROW($A$14)</f>
        <v>993</v>
      </c>
      <c r="B1007" s="9" t="e">
        <f>IF(A1007&lt;=$B$8,$B$6+(A1007-1)*($B$7-$B$6)/MAX(1,$B$8-1),NA())</f>
        <v>#N/A</v>
      </c>
      <c r="C1007" s="9" t="e">
        <f>RADIANS(B1007)</f>
        <v>#N/A</v>
      </c>
      <c r="D1007" s="9" t="e">
        <f>($B$3+$B$4)*COS(C1007)-$B$4*COS((($B$3+$B$4)/$B$4)*C1007)</f>
        <v>#N/A</v>
      </c>
      <c r="E1007" s="9" t="e">
        <f>($B$3+$B$4)*SIN(C1007)-$B$4*SIN((($B$3+$B$4)/$B$4)*C1007)</f>
        <v>#N/A</v>
      </c>
      <c r="F1007" s="5"/>
      <c r="G1007" s="5"/>
      <c r="H1007" s="5"/>
    </row>
    <row r="1008" spans="1:8" x14ac:dyDescent="0.3">
      <c r="A1008" s="9">
        <f>ROW()-ROW($A$14)</f>
        <v>994</v>
      </c>
      <c r="B1008" s="9" t="e">
        <f>IF(A1008&lt;=$B$8,$B$6+(A1008-1)*($B$7-$B$6)/MAX(1,$B$8-1),NA())</f>
        <v>#N/A</v>
      </c>
      <c r="C1008" s="9" t="e">
        <f>RADIANS(B1008)</f>
        <v>#N/A</v>
      </c>
      <c r="D1008" s="9" t="e">
        <f>($B$3+$B$4)*COS(C1008)-$B$4*COS((($B$3+$B$4)/$B$4)*C1008)</f>
        <v>#N/A</v>
      </c>
      <c r="E1008" s="9" t="e">
        <f>($B$3+$B$4)*SIN(C1008)-$B$4*SIN((($B$3+$B$4)/$B$4)*C1008)</f>
        <v>#N/A</v>
      </c>
      <c r="F1008" s="5"/>
      <c r="G1008" s="5"/>
      <c r="H1008" s="5"/>
    </row>
    <row r="1009" spans="1:8" x14ac:dyDescent="0.3">
      <c r="A1009" s="9">
        <f>ROW()-ROW($A$14)</f>
        <v>995</v>
      </c>
      <c r="B1009" s="9" t="e">
        <f>IF(A1009&lt;=$B$8,$B$6+(A1009-1)*($B$7-$B$6)/MAX(1,$B$8-1),NA())</f>
        <v>#N/A</v>
      </c>
      <c r="C1009" s="9" t="e">
        <f>RADIANS(B1009)</f>
        <v>#N/A</v>
      </c>
      <c r="D1009" s="9" t="e">
        <f>($B$3+$B$4)*COS(C1009)-$B$4*COS((($B$3+$B$4)/$B$4)*C1009)</f>
        <v>#N/A</v>
      </c>
      <c r="E1009" s="9" t="e">
        <f>($B$3+$B$4)*SIN(C1009)-$B$4*SIN((($B$3+$B$4)/$B$4)*C1009)</f>
        <v>#N/A</v>
      </c>
      <c r="F1009" s="5"/>
      <c r="G1009" s="5"/>
      <c r="H1009" s="5"/>
    </row>
    <row r="1010" spans="1:8" x14ac:dyDescent="0.3">
      <c r="A1010" s="9">
        <f>ROW()-ROW($A$14)</f>
        <v>996</v>
      </c>
      <c r="B1010" s="9" t="e">
        <f>IF(A1010&lt;=$B$8,$B$6+(A1010-1)*($B$7-$B$6)/MAX(1,$B$8-1),NA())</f>
        <v>#N/A</v>
      </c>
      <c r="C1010" s="9" t="e">
        <f>RADIANS(B1010)</f>
        <v>#N/A</v>
      </c>
      <c r="D1010" s="9" t="e">
        <f>($B$3+$B$4)*COS(C1010)-$B$4*COS((($B$3+$B$4)/$B$4)*C1010)</f>
        <v>#N/A</v>
      </c>
      <c r="E1010" s="9" t="e">
        <f>($B$3+$B$4)*SIN(C1010)-$B$4*SIN((($B$3+$B$4)/$B$4)*C1010)</f>
        <v>#N/A</v>
      </c>
      <c r="F1010" s="5"/>
      <c r="G1010" s="5"/>
      <c r="H1010" s="5"/>
    </row>
    <row r="1011" spans="1:8" x14ac:dyDescent="0.3">
      <c r="A1011" s="9">
        <f>ROW()-ROW($A$14)</f>
        <v>997</v>
      </c>
      <c r="B1011" s="9" t="e">
        <f>IF(A1011&lt;=$B$8,$B$6+(A1011-1)*($B$7-$B$6)/MAX(1,$B$8-1),NA())</f>
        <v>#N/A</v>
      </c>
      <c r="C1011" s="9" t="e">
        <f>RADIANS(B1011)</f>
        <v>#N/A</v>
      </c>
      <c r="D1011" s="9" t="e">
        <f>($B$3+$B$4)*COS(C1011)-$B$4*COS((($B$3+$B$4)/$B$4)*C1011)</f>
        <v>#N/A</v>
      </c>
      <c r="E1011" s="9" t="e">
        <f>($B$3+$B$4)*SIN(C1011)-$B$4*SIN((($B$3+$B$4)/$B$4)*C1011)</f>
        <v>#N/A</v>
      </c>
      <c r="F1011" s="5"/>
      <c r="G1011" s="5"/>
      <c r="H1011" s="5"/>
    </row>
    <row r="1012" spans="1:8" x14ac:dyDescent="0.3">
      <c r="A1012" s="9">
        <f>ROW()-ROW($A$14)</f>
        <v>998</v>
      </c>
      <c r="B1012" s="9" t="e">
        <f>IF(A1012&lt;=$B$8,$B$6+(A1012-1)*($B$7-$B$6)/MAX(1,$B$8-1),NA())</f>
        <v>#N/A</v>
      </c>
      <c r="C1012" s="9" t="e">
        <f>RADIANS(B1012)</f>
        <v>#N/A</v>
      </c>
      <c r="D1012" s="9" t="e">
        <f>($B$3+$B$4)*COS(C1012)-$B$4*COS((($B$3+$B$4)/$B$4)*C1012)</f>
        <v>#N/A</v>
      </c>
      <c r="E1012" s="9" t="e">
        <f>($B$3+$B$4)*SIN(C1012)-$B$4*SIN((($B$3+$B$4)/$B$4)*C1012)</f>
        <v>#N/A</v>
      </c>
      <c r="F1012" s="5"/>
      <c r="G1012" s="5"/>
      <c r="H1012" s="5"/>
    </row>
    <row r="1013" spans="1:8" x14ac:dyDescent="0.3">
      <c r="A1013" s="9">
        <f>ROW()-ROW($A$14)</f>
        <v>999</v>
      </c>
      <c r="B1013" s="9" t="e">
        <f>IF(A1013&lt;=$B$8,$B$6+(A1013-1)*($B$7-$B$6)/MAX(1,$B$8-1),NA())</f>
        <v>#N/A</v>
      </c>
      <c r="C1013" s="9" t="e">
        <f>RADIANS(B1013)</f>
        <v>#N/A</v>
      </c>
      <c r="D1013" s="9" t="e">
        <f>($B$3+$B$4)*COS(C1013)-$B$4*COS((($B$3+$B$4)/$B$4)*C1013)</f>
        <v>#N/A</v>
      </c>
      <c r="E1013" s="9" t="e">
        <f>($B$3+$B$4)*SIN(C1013)-$B$4*SIN((($B$3+$B$4)/$B$4)*C1013)</f>
        <v>#N/A</v>
      </c>
      <c r="F1013" s="5"/>
      <c r="G1013" s="5"/>
      <c r="H1013" s="5"/>
    </row>
    <row r="1014" spans="1:8" x14ac:dyDescent="0.3">
      <c r="A1014" s="9">
        <f>ROW()-ROW($A$14)</f>
        <v>1000</v>
      </c>
      <c r="B1014" s="9" t="e">
        <f>IF(A1014&lt;=$B$8,$B$6+(A1014-1)*($B$7-$B$6)/MAX(1,$B$8-1),NA())</f>
        <v>#N/A</v>
      </c>
      <c r="C1014" s="9" t="e">
        <f>RADIANS(B1014)</f>
        <v>#N/A</v>
      </c>
      <c r="D1014" s="9" t="e">
        <f>($B$3+$B$4)*COS(C1014)-$B$4*COS((($B$3+$B$4)/$B$4)*C1014)</f>
        <v>#N/A</v>
      </c>
      <c r="E1014" s="9" t="e">
        <f>($B$3+$B$4)*SIN(C1014)-$B$4*SIN((($B$3+$B$4)/$B$4)*C1014)</f>
        <v>#N/A</v>
      </c>
      <c r="F1014" s="5"/>
      <c r="G1014" s="5"/>
      <c r="H1014" s="5"/>
    </row>
  </sheetData>
  <mergeCells count="2">
    <mergeCell ref="A1:E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B7AF-98AD-4ED1-97A6-A002602E6A5E}">
  <dimension ref="A1:F23"/>
  <sheetViews>
    <sheetView workbookViewId="0"/>
  </sheetViews>
  <sheetFormatPr defaultRowHeight="14.4" x14ac:dyDescent="0.3"/>
  <cols>
    <col min="1" max="1" width="22.77734375" customWidth="1"/>
    <col min="2" max="2" width="36.77734375" customWidth="1"/>
    <col min="3" max="3" width="24.77734375" customWidth="1"/>
    <col min="4" max="4" width="20.77734375" customWidth="1"/>
    <col min="5" max="5" width="26.77734375" customWidth="1"/>
    <col min="6" max="6" width="74.77734375" customWidth="1"/>
  </cols>
  <sheetData>
    <row r="1" spans="1:6" x14ac:dyDescent="0.3">
      <c r="A1" s="3" t="s">
        <v>120</v>
      </c>
      <c r="B1" s="3" t="s">
        <v>121</v>
      </c>
      <c r="C1" s="3" t="s">
        <v>122</v>
      </c>
      <c r="D1" s="3" t="s">
        <v>123</v>
      </c>
      <c r="E1" s="3" t="s">
        <v>21</v>
      </c>
      <c r="F1" s="3" t="s">
        <v>124</v>
      </c>
    </row>
    <row r="2" spans="1:6" x14ac:dyDescent="0.3">
      <c r="A2" s="1" t="s">
        <v>125</v>
      </c>
      <c r="B2" s="1" t="s">
        <v>126</v>
      </c>
      <c r="C2" s="1">
        <v>6</v>
      </c>
      <c r="D2" s="1" t="s">
        <v>127</v>
      </c>
      <c r="E2" s="1" t="s">
        <v>128</v>
      </c>
      <c r="F2" s="1" t="s">
        <v>12</v>
      </c>
    </row>
    <row r="3" spans="1:6" ht="27.6" x14ac:dyDescent="0.3">
      <c r="A3" s="1" t="s">
        <v>129</v>
      </c>
      <c r="B3" s="1" t="s">
        <v>130</v>
      </c>
      <c r="C3" s="1">
        <v>0.5</v>
      </c>
      <c r="D3" s="1" t="s">
        <v>131</v>
      </c>
      <c r="E3" s="1" t="s">
        <v>132</v>
      </c>
      <c r="F3" s="1" t="s">
        <v>133</v>
      </c>
    </row>
    <row r="4" spans="1:6" ht="27.6" x14ac:dyDescent="0.3">
      <c r="A4" s="1" t="s">
        <v>134</v>
      </c>
      <c r="B4" s="1" t="s">
        <v>135</v>
      </c>
      <c r="C4" s="1">
        <v>381</v>
      </c>
      <c r="D4" s="1" t="s">
        <v>136</v>
      </c>
      <c r="E4" s="1" t="s">
        <v>132</v>
      </c>
      <c r="F4" s="1" t="s">
        <v>137</v>
      </c>
    </row>
    <row r="5" spans="1:6" ht="27.6" x14ac:dyDescent="0.3">
      <c r="A5" s="1" t="s">
        <v>129</v>
      </c>
      <c r="B5" s="1" t="s">
        <v>138</v>
      </c>
      <c r="C5" s="1" t="s">
        <v>139</v>
      </c>
      <c r="D5" s="1" t="s">
        <v>140</v>
      </c>
      <c r="E5" s="1" t="s">
        <v>141</v>
      </c>
      <c r="F5" s="1" t="s">
        <v>142</v>
      </c>
    </row>
    <row r="6" spans="1:6" ht="27.6" x14ac:dyDescent="0.3">
      <c r="A6" s="1" t="s">
        <v>88</v>
      </c>
      <c r="B6" s="1" t="s">
        <v>143</v>
      </c>
      <c r="C6" s="1" t="s">
        <v>144</v>
      </c>
      <c r="D6" s="1"/>
      <c r="E6" s="1" t="s">
        <v>145</v>
      </c>
      <c r="F6" s="1" t="s">
        <v>146</v>
      </c>
    </row>
    <row r="7" spans="1:6" x14ac:dyDescent="0.3">
      <c r="A7" s="1" t="s">
        <v>147</v>
      </c>
      <c r="B7" s="1" t="s">
        <v>148</v>
      </c>
      <c r="C7" s="1" t="s">
        <v>149</v>
      </c>
      <c r="D7" s="1"/>
      <c r="E7" s="1" t="s">
        <v>150</v>
      </c>
      <c r="F7" s="1" t="s">
        <v>151</v>
      </c>
    </row>
    <row r="8" spans="1:6" ht="27.6" x14ac:dyDescent="0.3">
      <c r="A8" s="1" t="s">
        <v>129</v>
      </c>
      <c r="B8" s="1" t="s">
        <v>152</v>
      </c>
      <c r="C8" s="1">
        <v>1.87</v>
      </c>
      <c r="D8" s="1" t="s">
        <v>153</v>
      </c>
      <c r="E8" s="1" t="s">
        <v>154</v>
      </c>
      <c r="F8" s="1" t="s">
        <v>155</v>
      </c>
    </row>
    <row r="9" spans="1:6" x14ac:dyDescent="0.3">
      <c r="A9" s="1" t="s">
        <v>129</v>
      </c>
      <c r="B9" s="1" t="s">
        <v>156</v>
      </c>
      <c r="C9" s="1" t="s">
        <v>26</v>
      </c>
      <c r="D9" s="1" t="s">
        <v>157</v>
      </c>
      <c r="E9" s="1" t="s">
        <v>158</v>
      </c>
      <c r="F9" s="1" t="s">
        <v>159</v>
      </c>
    </row>
    <row r="10" spans="1:6" x14ac:dyDescent="0.3">
      <c r="A10" s="1" t="s">
        <v>129</v>
      </c>
      <c r="B10" s="1" t="s">
        <v>160</v>
      </c>
      <c r="C10" s="1" t="s">
        <v>26</v>
      </c>
      <c r="D10" s="1" t="s">
        <v>161</v>
      </c>
      <c r="E10" s="1" t="s">
        <v>158</v>
      </c>
      <c r="F10" s="1" t="s">
        <v>162</v>
      </c>
    </row>
    <row r="11" spans="1:6" x14ac:dyDescent="0.3">
      <c r="A11" s="1" t="s">
        <v>163</v>
      </c>
      <c r="B11" s="1" t="s">
        <v>164</v>
      </c>
      <c r="C11" s="1" t="s">
        <v>165</v>
      </c>
      <c r="D11" s="1" t="s">
        <v>166</v>
      </c>
      <c r="E11" s="1" t="s">
        <v>167</v>
      </c>
      <c r="F11" s="1" t="s">
        <v>168</v>
      </c>
    </row>
    <row r="12" spans="1:6" x14ac:dyDescent="0.3">
      <c r="A12" s="1" t="s">
        <v>169</v>
      </c>
      <c r="B12" s="1" t="s">
        <v>170</v>
      </c>
      <c r="C12" s="4">
        <v>0.62569444444444444</v>
      </c>
      <c r="D12" s="1" t="s">
        <v>171</v>
      </c>
      <c r="E12" s="1" t="s">
        <v>172</v>
      </c>
      <c r="F12" s="1" t="s">
        <v>173</v>
      </c>
    </row>
    <row r="13" spans="1:6" x14ac:dyDescent="0.3">
      <c r="A13" s="1" t="s">
        <v>174</v>
      </c>
      <c r="B13" s="1" t="s">
        <v>175</v>
      </c>
      <c r="C13" s="1">
        <v>200</v>
      </c>
      <c r="D13" s="1" t="s">
        <v>176</v>
      </c>
      <c r="E13" s="1" t="s">
        <v>177</v>
      </c>
      <c r="F13" s="1" t="s">
        <v>178</v>
      </c>
    </row>
    <row r="14" spans="1:6" x14ac:dyDescent="0.3">
      <c r="A14" s="1" t="s">
        <v>174</v>
      </c>
      <c r="B14" s="1" t="s">
        <v>179</v>
      </c>
      <c r="C14" s="1">
        <v>1</v>
      </c>
      <c r="D14" s="1" t="s">
        <v>180</v>
      </c>
      <c r="E14" s="1" t="s">
        <v>181</v>
      </c>
      <c r="F14" s="1" t="s">
        <v>182</v>
      </c>
    </row>
    <row r="15" spans="1:6" x14ac:dyDescent="0.3">
      <c r="A15" s="1" t="s">
        <v>183</v>
      </c>
      <c r="B15" s="1" t="s">
        <v>184</v>
      </c>
      <c r="C15" s="1">
        <v>60</v>
      </c>
      <c r="D15" s="1" t="s">
        <v>185</v>
      </c>
      <c r="E15" s="1" t="s">
        <v>177</v>
      </c>
      <c r="F15" s="1" t="s">
        <v>186</v>
      </c>
    </row>
    <row r="16" spans="1:6" x14ac:dyDescent="0.3">
      <c r="A16" s="1" t="s">
        <v>183</v>
      </c>
      <c r="B16" s="1" t="s">
        <v>187</v>
      </c>
      <c r="C16" s="1">
        <v>3</v>
      </c>
      <c r="D16" s="1" t="s">
        <v>188</v>
      </c>
      <c r="E16" s="1" t="s">
        <v>177</v>
      </c>
      <c r="F16" s="1" t="s">
        <v>189</v>
      </c>
    </row>
    <row r="17" spans="1:6" x14ac:dyDescent="0.3">
      <c r="A17" s="1" t="s">
        <v>183</v>
      </c>
      <c r="B17" s="1" t="s">
        <v>190</v>
      </c>
      <c r="C17" s="1">
        <v>1.5</v>
      </c>
      <c r="D17" s="1" t="s">
        <v>191</v>
      </c>
      <c r="E17" s="1" t="s">
        <v>192</v>
      </c>
      <c r="F17" s="1" t="s">
        <v>193</v>
      </c>
    </row>
    <row r="18" spans="1:6" x14ac:dyDescent="0.3">
      <c r="A18" s="1" t="s">
        <v>183</v>
      </c>
      <c r="B18" s="1" t="s">
        <v>194</v>
      </c>
      <c r="C18" s="1">
        <v>0.05</v>
      </c>
      <c r="D18" s="1" t="s">
        <v>191</v>
      </c>
      <c r="E18" s="1" t="s">
        <v>195</v>
      </c>
      <c r="F18" s="1" t="s">
        <v>196</v>
      </c>
    </row>
    <row r="19" spans="1:6" x14ac:dyDescent="0.3">
      <c r="A19" s="1" t="s">
        <v>183</v>
      </c>
      <c r="B19" s="1" t="s">
        <v>197</v>
      </c>
      <c r="C19" s="1" t="s">
        <v>198</v>
      </c>
      <c r="D19" s="1" t="s">
        <v>191</v>
      </c>
      <c r="E19" s="1" t="s">
        <v>199</v>
      </c>
      <c r="F19" s="1" t="s">
        <v>200</v>
      </c>
    </row>
    <row r="20" spans="1:6" x14ac:dyDescent="0.3">
      <c r="A20" s="1" t="s">
        <v>183</v>
      </c>
      <c r="B20" s="1" t="s">
        <v>201</v>
      </c>
      <c r="C20" s="1" t="s">
        <v>26</v>
      </c>
      <c r="D20" s="1" t="s">
        <v>202</v>
      </c>
      <c r="E20" s="1" t="s">
        <v>203</v>
      </c>
      <c r="F20" s="1" t="s">
        <v>204</v>
      </c>
    </row>
    <row r="21" spans="1:6" x14ac:dyDescent="0.3">
      <c r="A21" s="1" t="s">
        <v>205</v>
      </c>
      <c r="B21" s="1" t="s">
        <v>206</v>
      </c>
      <c r="C21" s="1" t="s">
        <v>80</v>
      </c>
      <c r="D21" s="1" t="s">
        <v>207</v>
      </c>
      <c r="E21" s="1" t="s">
        <v>82</v>
      </c>
      <c r="F21" s="1" t="s">
        <v>208</v>
      </c>
    </row>
    <row r="22" spans="1:6" x14ac:dyDescent="0.3">
      <c r="A22" s="1" t="s">
        <v>205</v>
      </c>
      <c r="B22" s="1" t="s">
        <v>209</v>
      </c>
      <c r="C22" s="1" t="s">
        <v>210</v>
      </c>
      <c r="D22" s="1" t="s">
        <v>185</v>
      </c>
      <c r="E22" s="1" t="s">
        <v>211</v>
      </c>
      <c r="F22" s="1" t="s">
        <v>212</v>
      </c>
    </row>
    <row r="23" spans="1:6" x14ac:dyDescent="0.3">
      <c r="A23" s="1" t="s">
        <v>213</v>
      </c>
      <c r="B23" s="1" t="s">
        <v>214</v>
      </c>
      <c r="C23" s="1" t="s">
        <v>215</v>
      </c>
      <c r="D23" s="1"/>
      <c r="E23" s="1" t="s">
        <v>216</v>
      </c>
      <c r="F23" s="1" t="s">
        <v>217</v>
      </c>
    </row>
  </sheetData>
  <autoFilter ref="A1:F1" xr:uid="{15E0B7AF-98AD-4ED1-97A6-A002602E6A5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599B-0A54-4F9A-A789-CBBFE7F75C3F}">
  <dimension ref="A1:G21"/>
  <sheetViews>
    <sheetView workbookViewId="0"/>
  </sheetViews>
  <sheetFormatPr defaultRowHeight="14.4" x14ac:dyDescent="0.3"/>
  <cols>
    <col min="1" max="1" width="16.77734375" customWidth="1"/>
    <col min="2" max="2" width="32.77734375" customWidth="1"/>
    <col min="3" max="3" width="54.77734375" customWidth="1"/>
    <col min="4" max="4" width="19.77734375" customWidth="1"/>
    <col min="5" max="5" width="21.77734375" customWidth="1"/>
    <col min="6" max="6" width="25.77734375" customWidth="1"/>
    <col min="7" max="7" width="70.77734375" customWidth="1"/>
  </cols>
  <sheetData>
    <row r="1" spans="1:7" x14ac:dyDescent="0.3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</row>
    <row r="2" spans="1:7" x14ac:dyDescent="0.3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</row>
    <row r="3" spans="1:7" x14ac:dyDescent="0.3">
      <c r="A3" s="1" t="s">
        <v>23</v>
      </c>
      <c r="B3" s="1" t="s">
        <v>30</v>
      </c>
      <c r="C3" s="1" t="s">
        <v>31</v>
      </c>
      <c r="D3" s="1" t="s">
        <v>32</v>
      </c>
      <c r="E3" s="1" t="s">
        <v>27</v>
      </c>
      <c r="F3" s="1" t="s">
        <v>33</v>
      </c>
      <c r="G3" s="1" t="s">
        <v>34</v>
      </c>
    </row>
    <row r="4" spans="1:7" x14ac:dyDescent="0.3">
      <c r="A4" s="1" t="s">
        <v>35</v>
      </c>
      <c r="B4" s="1" t="s">
        <v>36</v>
      </c>
      <c r="C4" s="1" t="s">
        <v>37</v>
      </c>
      <c r="D4" s="1">
        <v>1</v>
      </c>
      <c r="E4" s="1" t="s">
        <v>27</v>
      </c>
      <c r="F4" s="1" t="s">
        <v>33</v>
      </c>
      <c r="G4" s="1" t="s">
        <v>38</v>
      </c>
    </row>
    <row r="5" spans="1:7" x14ac:dyDescent="0.3">
      <c r="A5" s="1" t="s">
        <v>35</v>
      </c>
      <c r="B5" s="1" t="s">
        <v>39</v>
      </c>
      <c r="C5" s="1" t="s">
        <v>40</v>
      </c>
      <c r="D5" s="1">
        <v>1</v>
      </c>
      <c r="E5" s="1" t="s">
        <v>27</v>
      </c>
      <c r="F5" s="1" t="s">
        <v>41</v>
      </c>
      <c r="G5" s="1" t="s">
        <v>42</v>
      </c>
    </row>
    <row r="6" spans="1:7" x14ac:dyDescent="0.3">
      <c r="A6" s="1" t="s">
        <v>43</v>
      </c>
      <c r="B6" s="1" t="s">
        <v>44</v>
      </c>
      <c r="C6" s="1" t="s">
        <v>45</v>
      </c>
      <c r="D6" s="1" t="s">
        <v>46</v>
      </c>
      <c r="E6" s="1" t="s">
        <v>27</v>
      </c>
      <c r="F6" s="1" t="s">
        <v>47</v>
      </c>
      <c r="G6" s="1" t="s">
        <v>48</v>
      </c>
    </row>
    <row r="7" spans="1:7" x14ac:dyDescent="0.3">
      <c r="A7" s="1" t="s">
        <v>43</v>
      </c>
      <c r="B7" s="1" t="s">
        <v>49</v>
      </c>
      <c r="C7" s="1" t="s">
        <v>50</v>
      </c>
      <c r="D7" s="1" t="s">
        <v>51</v>
      </c>
      <c r="E7" s="1">
        <v>1</v>
      </c>
      <c r="F7" s="1" t="s">
        <v>52</v>
      </c>
      <c r="G7" s="1" t="s">
        <v>53</v>
      </c>
    </row>
    <row r="8" spans="1:7" x14ac:dyDescent="0.3">
      <c r="A8" s="1" t="s">
        <v>54</v>
      </c>
      <c r="B8" s="1" t="s">
        <v>55</v>
      </c>
      <c r="C8" s="1" t="s">
        <v>56</v>
      </c>
      <c r="D8" s="1">
        <v>1</v>
      </c>
      <c r="E8" s="1" t="s">
        <v>26</v>
      </c>
      <c r="F8" s="1" t="s">
        <v>57</v>
      </c>
      <c r="G8" s="1" t="s">
        <v>58</v>
      </c>
    </row>
    <row r="9" spans="1:7" x14ac:dyDescent="0.3">
      <c r="A9" s="1" t="s">
        <v>54</v>
      </c>
      <c r="B9" s="1" t="s">
        <v>59</v>
      </c>
      <c r="C9" s="1" t="s">
        <v>60</v>
      </c>
      <c r="D9" s="1">
        <v>0</v>
      </c>
      <c r="E9" s="1" t="s">
        <v>26</v>
      </c>
      <c r="F9" s="1" t="s">
        <v>61</v>
      </c>
      <c r="G9" s="1" t="s">
        <v>62</v>
      </c>
    </row>
    <row r="10" spans="1:7" x14ac:dyDescent="0.3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52</v>
      </c>
      <c r="G10" s="1" t="s">
        <v>68</v>
      </c>
    </row>
    <row r="11" spans="1:7" x14ac:dyDescent="0.3">
      <c r="A11" s="1" t="s">
        <v>63</v>
      </c>
      <c r="B11" s="1" t="s">
        <v>69</v>
      </c>
      <c r="C11" s="1" t="s">
        <v>70</v>
      </c>
      <c r="D11" s="1">
        <v>1</v>
      </c>
      <c r="E11" s="1" t="s">
        <v>67</v>
      </c>
      <c r="F11" s="1" t="s">
        <v>71</v>
      </c>
      <c r="G11" s="1" t="s">
        <v>72</v>
      </c>
    </row>
    <row r="12" spans="1:7" x14ac:dyDescent="0.3">
      <c r="A12" s="1" t="s">
        <v>63</v>
      </c>
      <c r="B12" s="1" t="s">
        <v>73</v>
      </c>
      <c r="C12" s="1" t="s">
        <v>74</v>
      </c>
      <c r="D12" s="1" t="s">
        <v>75</v>
      </c>
      <c r="E12" s="1" t="s">
        <v>67</v>
      </c>
      <c r="F12" s="1" t="s">
        <v>76</v>
      </c>
      <c r="G12" s="1" t="s">
        <v>77</v>
      </c>
    </row>
    <row r="13" spans="1:7" x14ac:dyDescent="0.3">
      <c r="A13" s="1" t="s">
        <v>78</v>
      </c>
      <c r="B13" s="1" t="s">
        <v>79</v>
      </c>
      <c r="C13" s="1" t="s">
        <v>80</v>
      </c>
      <c r="D13" s="1">
        <v>1</v>
      </c>
      <c r="E13" s="1" t="s">
        <v>81</v>
      </c>
      <c r="F13" s="1" t="s">
        <v>82</v>
      </c>
      <c r="G13" s="1" t="s">
        <v>83</v>
      </c>
    </row>
    <row r="14" spans="1:7" ht="27.6" x14ac:dyDescent="0.3">
      <c r="A14" s="1" t="s">
        <v>78</v>
      </c>
      <c r="B14" s="1" t="s">
        <v>84</v>
      </c>
      <c r="C14" s="1" t="s">
        <v>85</v>
      </c>
      <c r="D14" s="1" t="s">
        <v>26</v>
      </c>
      <c r="E14" s="1" t="s">
        <v>27</v>
      </c>
      <c r="F14" s="1" t="s">
        <v>86</v>
      </c>
      <c r="G14" s="1" t="s">
        <v>87</v>
      </c>
    </row>
    <row r="15" spans="1:7" ht="27.6" x14ac:dyDescent="0.3">
      <c r="A15" s="1" t="s">
        <v>88</v>
      </c>
      <c r="B15" s="1" t="s">
        <v>89</v>
      </c>
      <c r="C15" s="1" t="s">
        <v>90</v>
      </c>
      <c r="D15" s="1" t="s">
        <v>91</v>
      </c>
      <c r="E15" s="1">
        <v>1</v>
      </c>
      <c r="F15" s="1" t="s">
        <v>92</v>
      </c>
      <c r="G15" s="1" t="s">
        <v>93</v>
      </c>
    </row>
    <row r="16" spans="1:7" x14ac:dyDescent="0.3">
      <c r="A16" s="1" t="s">
        <v>94</v>
      </c>
      <c r="B16" s="1" t="s">
        <v>95</v>
      </c>
      <c r="C16" s="1" t="s">
        <v>96</v>
      </c>
      <c r="D16" s="1" t="s">
        <v>97</v>
      </c>
      <c r="E16" s="1" t="s">
        <v>26</v>
      </c>
      <c r="F16" s="1" t="s">
        <v>82</v>
      </c>
      <c r="G16" s="1" t="s">
        <v>98</v>
      </c>
    </row>
    <row r="17" spans="1:7" ht="27.6" x14ac:dyDescent="0.3">
      <c r="A17" s="1" t="s">
        <v>94</v>
      </c>
      <c r="B17" s="1" t="s">
        <v>99</v>
      </c>
      <c r="C17" s="1" t="s">
        <v>100</v>
      </c>
      <c r="D17" s="1" t="s">
        <v>26</v>
      </c>
      <c r="E17" s="1" t="s">
        <v>26</v>
      </c>
      <c r="F17" s="1" t="s">
        <v>101</v>
      </c>
      <c r="G17" s="1" t="s">
        <v>102</v>
      </c>
    </row>
    <row r="18" spans="1:7" x14ac:dyDescent="0.3">
      <c r="A18" s="1" t="s">
        <v>94</v>
      </c>
      <c r="B18" s="1" t="s">
        <v>103</v>
      </c>
      <c r="C18" s="1" t="s">
        <v>104</v>
      </c>
      <c r="D18" s="1" t="s">
        <v>26</v>
      </c>
      <c r="E18" s="1" t="s">
        <v>26</v>
      </c>
      <c r="F18" s="1" t="s">
        <v>105</v>
      </c>
      <c r="G18" s="1" t="s">
        <v>106</v>
      </c>
    </row>
    <row r="19" spans="1:7" x14ac:dyDescent="0.3">
      <c r="A19" s="1" t="s">
        <v>94</v>
      </c>
      <c r="B19" s="1" t="s">
        <v>107</v>
      </c>
      <c r="C19" s="1" t="s">
        <v>108</v>
      </c>
      <c r="D19" s="1" t="s">
        <v>26</v>
      </c>
      <c r="E19" s="1" t="s">
        <v>26</v>
      </c>
      <c r="F19" s="1" t="s">
        <v>109</v>
      </c>
      <c r="G19" s="1" t="s">
        <v>110</v>
      </c>
    </row>
    <row r="20" spans="1:7" x14ac:dyDescent="0.3">
      <c r="A20" s="1" t="s">
        <v>111</v>
      </c>
      <c r="B20" s="1" t="s">
        <v>112</v>
      </c>
      <c r="C20" s="1" t="s">
        <v>113</v>
      </c>
      <c r="D20" s="1" t="s">
        <v>26</v>
      </c>
      <c r="E20" s="1" t="s">
        <v>26</v>
      </c>
      <c r="F20" s="1" t="s">
        <v>86</v>
      </c>
      <c r="G20" s="1" t="s">
        <v>114</v>
      </c>
    </row>
    <row r="21" spans="1:7" x14ac:dyDescent="0.3">
      <c r="A21" s="1" t="s">
        <v>111</v>
      </c>
      <c r="B21" s="1" t="s">
        <v>115</v>
      </c>
      <c r="C21" s="1" t="s">
        <v>116</v>
      </c>
      <c r="D21" s="1" t="s">
        <v>117</v>
      </c>
      <c r="E21" s="1" t="s">
        <v>26</v>
      </c>
      <c r="F21" s="1" t="s">
        <v>118</v>
      </c>
      <c r="G21" s="1" t="s">
        <v>119</v>
      </c>
    </row>
  </sheetData>
  <autoFilter ref="A1:G1" xr:uid="{85BB599B-0A54-4F9A-A789-CBBFE7F75C3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94B5B-C306-481D-9DA2-8B3E7FFEED64}">
  <dimension ref="A1:B13"/>
  <sheetViews>
    <sheetView workbookViewId="0"/>
  </sheetViews>
  <sheetFormatPr defaultRowHeight="14.4" x14ac:dyDescent="0.3"/>
  <cols>
    <col min="1" max="1" width="24.77734375" customWidth="1"/>
    <col min="2" max="2" width="100.77734375" customWidth="1"/>
  </cols>
  <sheetData>
    <row r="1" spans="1:2" x14ac:dyDescent="0.3">
      <c r="A1" s="11" t="s">
        <v>0</v>
      </c>
      <c r="B1" s="11"/>
    </row>
    <row r="2" spans="1:2" x14ac:dyDescent="0.3">
      <c r="A2" s="1"/>
      <c r="B2" s="1"/>
    </row>
    <row r="3" spans="1:2" ht="37.950000000000003" customHeight="1" x14ac:dyDescent="0.3">
      <c r="A3" s="2" t="s">
        <v>1</v>
      </c>
      <c r="B3" s="1" t="s">
        <v>2</v>
      </c>
    </row>
    <row r="4" spans="1:2" ht="31.95" customHeight="1" x14ac:dyDescent="0.3">
      <c r="A4" s="2" t="s">
        <v>3</v>
      </c>
      <c r="B4" s="1" t="s">
        <v>4</v>
      </c>
    </row>
    <row r="5" spans="1:2" ht="37.950000000000003" customHeight="1" x14ac:dyDescent="0.3">
      <c r="A5" s="2" t="s">
        <v>5</v>
      </c>
      <c r="B5" s="1" t="s">
        <v>6</v>
      </c>
    </row>
    <row r="6" spans="1:2" ht="37.950000000000003" customHeight="1" x14ac:dyDescent="0.3">
      <c r="A6" s="2" t="s">
        <v>7</v>
      </c>
      <c r="B6" s="1" t="s">
        <v>8</v>
      </c>
    </row>
    <row r="7" spans="1:2" ht="31.95" customHeight="1" x14ac:dyDescent="0.3">
      <c r="A7" s="2" t="s">
        <v>9</v>
      </c>
      <c r="B7" s="1" t="s">
        <v>10</v>
      </c>
    </row>
    <row r="8" spans="1:2" x14ac:dyDescent="0.3">
      <c r="A8" s="1"/>
      <c r="B8" s="1"/>
    </row>
    <row r="9" spans="1:2" x14ac:dyDescent="0.3">
      <c r="A9" s="2" t="s">
        <v>11</v>
      </c>
      <c r="B9" s="1"/>
    </row>
    <row r="10" spans="1:2" x14ac:dyDescent="0.3">
      <c r="A10" s="1" t="s">
        <v>12</v>
      </c>
      <c r="B10" s="1"/>
    </row>
    <row r="11" spans="1:2" ht="27.6" x14ac:dyDescent="0.3">
      <c r="A11" s="1" t="s">
        <v>13</v>
      </c>
      <c r="B11" s="1"/>
    </row>
    <row r="12" spans="1:2" ht="41.4" x14ac:dyDescent="0.3">
      <c r="A12" s="1" t="s">
        <v>14</v>
      </c>
      <c r="B12" s="1"/>
    </row>
    <row r="13" spans="1:2" x14ac:dyDescent="0.3">
      <c r="A13" s="1" t="s">
        <v>15</v>
      </c>
      <c r="B13" s="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Epicycloid</vt:lpstr>
      <vt:lpstr>Targets</vt:lpstr>
      <vt:lpstr>BOM</vt:lpstr>
      <vt:lpstr>Read 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Koa</dc:creator>
  <cp:lastModifiedBy>Shen, Koa</cp:lastModifiedBy>
  <dcterms:created xsi:type="dcterms:W3CDTF">2026-09-27T22:47:04Z</dcterms:created>
  <dcterms:modified xsi:type="dcterms:W3CDTF">2026-09-27T22:47:26Z</dcterms:modified>
</cp:coreProperties>
</file>