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arameters" sheetId="2" state="visible" r:id="rId2"/>
    <sheet name="BOM" sheetId="3" state="visible" r:id="rId3"/>
    <sheet name="Cycloidal Curve" sheetId="4" state="visible" r:id="rId4"/>
    <sheet name="Test Plan" sheetId="5" state="visible" r:id="rId5"/>
    <sheet name="Test Log" sheetId="6" state="visible" r:id="rId6"/>
    <sheet name="CAD and Ope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9FC"/>
      </patternFill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center" wrapText="1"/>
    </xf>
    <xf numFmtId="0" fontId="2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25" customHeight="1">
      <c r="A1" s="1" t="inlineStr">
        <is>
          <t>Desktop 6-DOF Arm - Engineering Workbook</t>
        </is>
      </c>
    </row>
    <row r="3">
      <c r="A3" s="2" t="inlineStr">
        <is>
          <t>Purpose</t>
        </is>
      </c>
      <c r="B3" s="2" t="inlineStr">
        <is>
          <t>Working record for confirmed parameters, procurements, CAD inputs, and measured test results.</t>
        </is>
      </c>
    </row>
    <row r="4">
      <c r="A4" s="3" t="inlineStr">
        <is>
          <t>Generated</t>
        </is>
      </c>
      <c r="B4" s="3" t="inlineStr">
        <is>
          <t>Run `python tools/build_parameter_workbook.py` from the repository root.</t>
        </is>
      </c>
    </row>
    <row r="5">
      <c r="A5" s="2" t="inlineStr">
        <is>
          <t>Source control</t>
        </is>
      </c>
      <c r="B5" s="2" t="inlineStr">
        <is>
          <t>The generator and Markdown documents are reviewable source. The XLSX is the human-facing operational record.</t>
        </is>
      </c>
    </row>
    <row r="6">
      <c r="A6" s="3" t="inlineStr">
        <is>
          <t>Update rule</t>
        </is>
      </c>
      <c r="B6" s="3" t="inlineStr">
        <is>
          <t>Change confirmed design values in the generator and regenerate. Add raw observations and measured outputs directly to Test Log; regeneration preserves all existing rows.</t>
        </is>
      </c>
    </row>
    <row r="7">
      <c r="A7" s="2" t="inlineStr">
        <is>
          <t>Status meaning</t>
        </is>
      </c>
      <c r="B7" s="2" t="inlineStr">
        <is>
          <t>Confirmed = measured or fixed in CAD; Assumed = model input; Pending = needs measurement; Failing = known constraint violation.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  <col width="22" customWidth="1" min="5" max="5"/>
    <col width="46" customWidth="1" min="6" max="6"/>
    <col width="28" customWidth="1" min="7" max="7"/>
  </cols>
  <sheetData>
    <row r="1" ht="25" customHeight="1">
      <c r="A1" s="1" t="inlineStr">
        <is>
          <t>Controlled Design Parameters</t>
        </is>
      </c>
    </row>
    <row r="3" ht="30" customHeight="1">
      <c r="A3" s="4" t="inlineStr">
        <is>
          <t>Subsystem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  <c r="E3" s="4" t="inlineStr">
        <is>
          <t>Status</t>
        </is>
      </c>
      <c r="F3" s="4" t="inlineStr">
        <is>
          <t>Source / date</t>
        </is>
      </c>
      <c r="G3" s="4" t="inlineStr">
        <is>
          <t>Notes</t>
        </is>
      </c>
    </row>
    <row r="4">
      <c r="A4" s="3" t="inlineStr">
        <is>
          <t>Reducer</t>
        </is>
      </c>
      <c r="B4" s="3" t="inlineStr">
        <is>
          <t>Ring pin count</t>
        </is>
      </c>
      <c r="C4" s="3" t="n">
        <v>16</v>
      </c>
      <c r="D4" s="3" t="inlineStr">
        <is>
          <t>count</t>
        </is>
      </c>
      <c r="E4" s="3" t="inlineStr">
        <is>
          <t>Confirmed</t>
        </is>
      </c>
      <c r="F4" s="3" t="inlineStr">
        <is>
          <t>CAD / 2026-09-15</t>
        </is>
      </c>
      <c r="G4" s="3" t="inlineStr">
        <is>
          <t>Integral housing pins</t>
        </is>
      </c>
    </row>
    <row r="5">
      <c r="A5" s="2" t="inlineStr">
        <is>
          <t>Reducer</t>
        </is>
      </c>
      <c r="B5" s="2" t="inlineStr">
        <is>
          <t>Disc lobe count</t>
        </is>
      </c>
      <c r="C5" s="2" t="n">
        <v>15</v>
      </c>
      <c r="D5" s="2" t="inlineStr">
        <is>
          <t>count</t>
        </is>
      </c>
      <c r="E5" s="2" t="inlineStr">
        <is>
          <t>Confirmed</t>
        </is>
      </c>
      <c r="F5" s="2" t="inlineStr">
        <is>
          <t>CAD / 2026-09-15</t>
        </is>
      </c>
      <c r="G5" s="2" t="inlineStr">
        <is>
          <t>Fixed ring, one-tooth difference</t>
        </is>
      </c>
    </row>
    <row r="6">
      <c r="A6" s="3" t="inlineStr">
        <is>
          <t>Reducer</t>
        </is>
      </c>
      <c r="B6" s="3" t="inlineStr">
        <is>
          <t>Nominal ratio</t>
        </is>
      </c>
      <c r="C6" s="3" t="n">
        <v>15</v>
      </c>
      <c r="D6" s="3" t="inlineStr">
        <is>
          <t>:1</t>
        </is>
      </c>
      <c r="E6" s="3" t="inlineStr">
        <is>
          <t>Confirmed</t>
        </is>
      </c>
      <c r="F6" s="3" t="inlineStr">
        <is>
          <t>CAD / 2026-09-15</t>
        </is>
      </c>
      <c r="G6" s="3" t="inlineStr">
        <is>
          <t>Measure actual ratio during calibration</t>
        </is>
      </c>
    </row>
    <row r="7">
      <c r="A7" s="2" t="inlineStr">
        <is>
          <t>Reducer</t>
        </is>
      </c>
      <c r="B7" s="2" t="inlineStr">
        <is>
          <t>Ring-pin-circle radius</t>
        </is>
      </c>
      <c r="C7" s="2" t="n">
        <v>18</v>
      </c>
      <c r="D7" s="2" t="inlineStr">
        <is>
          <t>mm</t>
        </is>
      </c>
      <c r="E7" s="2" t="inlineStr">
        <is>
          <t>Confirmed</t>
        </is>
      </c>
      <c r="F7" s="2" t="inlineStr">
        <is>
          <t>CAD / 2026-09-15</t>
        </is>
      </c>
      <c r="G7" s="2" t="inlineStr">
        <is>
          <t>36 mm diameter</t>
        </is>
      </c>
    </row>
    <row r="8">
      <c r="A8" s="3" t="inlineStr">
        <is>
          <t>Reducer</t>
        </is>
      </c>
      <c r="B8" s="3" t="inlineStr">
        <is>
          <t>Ring pin diameter</t>
        </is>
      </c>
      <c r="C8" s="3" t="n">
        <v>3.5</v>
      </c>
      <c r="D8" s="3" t="inlineStr">
        <is>
          <t>mm</t>
        </is>
      </c>
      <c r="E8" s="3" t="inlineStr">
        <is>
          <t>Confirmed</t>
        </is>
      </c>
      <c r="F8" s="3" t="inlineStr">
        <is>
          <t>CAD / 2026-09-15</t>
        </is>
      </c>
      <c r="G8" s="3" t="inlineStr">
        <is>
          <t>PETG, approximately half-embedded in wall</t>
        </is>
      </c>
    </row>
    <row r="9">
      <c r="A9" s="2" t="inlineStr">
        <is>
          <t>Reducer</t>
        </is>
      </c>
      <c r="B9" s="2" t="inlineStr">
        <is>
          <t>Eccentricity</t>
        </is>
      </c>
      <c r="C9" s="2" t="n">
        <v>0.65</v>
      </c>
      <c r="D9" s="2" t="inlineStr">
        <is>
          <t>mm</t>
        </is>
      </c>
      <c r="E9" s="2" t="inlineStr">
        <is>
          <t>Confirmed</t>
        </is>
      </c>
      <c r="F9" s="2" t="inlineStr">
        <is>
          <t>CAD / 2026-09-15</t>
        </is>
      </c>
      <c r="G9" s="2" t="inlineStr">
        <is>
          <t>K = e*N/R</t>
        </is>
      </c>
    </row>
    <row r="10">
      <c r="A10" s="3" t="inlineStr">
        <is>
          <t>Reducer</t>
        </is>
      </c>
      <c r="B10" s="3" t="inlineStr">
        <is>
          <t>Disc thickness</t>
        </is>
      </c>
      <c r="C10" s="3" t="n">
        <v>4</v>
      </c>
      <c r="D10" s="3" t="inlineStr">
        <is>
          <t>mm</t>
        </is>
      </c>
      <c r="E10" s="3" t="inlineStr">
        <is>
          <t>Confirmed</t>
        </is>
      </c>
      <c r="F10" s="3" t="inlineStr">
        <is>
          <t>CAD / 2026-09-15</t>
        </is>
      </c>
      <c r="G10" s="3" t="inlineStr">
        <is>
          <t>Two discs, 180 deg indexed</t>
        </is>
      </c>
    </row>
    <row r="11">
      <c r="A11" s="2" t="inlineStr">
        <is>
          <t>Reducer</t>
        </is>
      </c>
      <c r="B11" s="2" t="inlineStr">
        <is>
          <t>Disc count</t>
        </is>
      </c>
      <c r="C11" s="2" t="n">
        <v>2</v>
      </c>
      <c r="D11" s="2" t="inlineStr">
        <is>
          <t>count</t>
        </is>
      </c>
      <c r="E11" s="2" t="inlineStr">
        <is>
          <t>Confirmed</t>
        </is>
      </c>
      <c r="F11" s="2" t="inlineStr">
        <is>
          <t>CAD / 2026-09-15</t>
        </is>
      </c>
      <c r="G11" s="2" t="inlineStr"/>
    </row>
    <row r="12">
      <c r="A12" s="3" t="inlineStr">
        <is>
          <t>Reducer</t>
        </is>
      </c>
      <c r="B12" s="3" t="inlineStr">
        <is>
          <t>Output shafts</t>
        </is>
      </c>
      <c r="C12" s="3" t="n">
        <v>6</v>
      </c>
      <c r="D12" s="3" t="inlineStr">
        <is>
          <t>count</t>
        </is>
      </c>
      <c r="E12" s="3" t="inlineStr">
        <is>
          <t>Confirmed</t>
        </is>
      </c>
      <c r="F12" s="3" t="inlineStr">
        <is>
          <t>CAD / 2026-09-15</t>
        </is>
      </c>
      <c r="G12" s="3" t="inlineStr">
        <is>
          <t>M3 shoulder bolts, 4 mm shoulders</t>
        </is>
      </c>
    </row>
    <row r="13">
      <c r="A13" s="2" t="inlineStr">
        <is>
          <t>Reducer</t>
        </is>
      </c>
      <c r="B13" s="2" t="inlineStr">
        <is>
          <t>Output-shaft circle diameter</t>
        </is>
      </c>
      <c r="C13" s="2" t="n">
        <v>23</v>
      </c>
      <c r="D13" s="2" t="inlineStr">
        <is>
          <t>mm</t>
        </is>
      </c>
      <c r="E13" s="2" t="inlineStr">
        <is>
          <t>Confirmed</t>
        </is>
      </c>
      <c r="F13" s="2" t="inlineStr">
        <is>
          <t>CAD / 2026-09-15</t>
        </is>
      </c>
      <c r="G13" s="2" t="inlineStr"/>
    </row>
    <row r="14">
      <c r="A14" s="3" t="inlineStr">
        <is>
          <t>Reducer</t>
        </is>
      </c>
      <c r="B14" s="3" t="inlineStr">
        <is>
          <t>PTFE spacer thickness</t>
        </is>
      </c>
      <c r="C14" s="3" t="n">
        <v>0.8</v>
      </c>
      <c r="D14" s="3" t="inlineStr">
        <is>
          <t>mm</t>
        </is>
      </c>
      <c r="E14" s="3" t="inlineStr">
        <is>
          <t>Confirmed</t>
        </is>
      </c>
      <c r="F14" s="3" t="inlineStr">
        <is>
          <t>CAD / 2026-09-15</t>
        </is>
      </c>
      <c r="G14" s="3" t="inlineStr">
        <is>
          <t>Three spacers</t>
        </is>
      </c>
    </row>
    <row r="15">
      <c r="A15" s="2" t="inlineStr">
        <is>
          <t>Reducer</t>
        </is>
      </c>
      <c r="B15" s="2" t="inlineStr">
        <is>
          <t>Housing wall</t>
        </is>
      </c>
      <c r="C15" s="2" t="n">
        <v>2</v>
      </c>
      <c r="D15" s="2" t="inlineStr">
        <is>
          <t>mm</t>
        </is>
      </c>
      <c r="E15" s="2" t="inlineStr">
        <is>
          <t>Assumed</t>
        </is>
      </c>
      <c r="F15" s="2" t="inlineStr">
        <is>
          <t>Layout model</t>
        </is>
      </c>
      <c r="G15" s="2" t="inlineStr">
        <is>
          <t>Replace with minimum CAD wall thickness</t>
        </is>
      </c>
    </row>
    <row r="16">
      <c r="A16" s="3" t="inlineStr">
        <is>
          <t>Reducer</t>
        </is>
      </c>
      <c r="B16" s="3" t="inlineStr">
        <is>
          <t>Minimum feature web</t>
        </is>
      </c>
      <c r="C16" s="3" t="n">
        <v>1.5</v>
      </c>
      <c r="D16" s="3" t="inlineStr">
        <is>
          <t>mm</t>
        </is>
      </c>
      <c r="E16" s="3" t="inlineStr">
        <is>
          <t>Assumed</t>
        </is>
      </c>
      <c r="F16" s="3" t="inlineStr">
        <is>
          <t>Layout model</t>
        </is>
      </c>
      <c r="G16" s="3" t="inlineStr">
        <is>
          <t>Model check only</t>
        </is>
      </c>
    </row>
    <row r="17">
      <c r="A17" s="2" t="inlineStr">
        <is>
          <t>Bearings</t>
        </is>
      </c>
      <c r="B17" s="2" t="inlineStr">
        <is>
          <t>Output flange</t>
        </is>
      </c>
      <c r="C17" s="2" t="inlineStr">
        <is>
          <t>6705-2RS</t>
        </is>
      </c>
      <c r="D17" s="2" t="inlineStr">
        <is>
          <t>part no.</t>
        </is>
      </c>
      <c r="E17" s="2" t="inlineStr">
        <is>
          <t>Confirmed</t>
        </is>
      </c>
      <c r="F17" s="2" t="inlineStr">
        <is>
          <t>Selection / 2026-09-15</t>
        </is>
      </c>
      <c r="G17" s="2" t="inlineStr">
        <is>
          <t>25 mm flange land, axial seating lip</t>
        </is>
      </c>
    </row>
    <row r="18">
      <c r="A18" s="3" t="inlineStr">
        <is>
          <t>Bearings</t>
        </is>
      </c>
      <c r="B18" s="3" t="inlineStr">
        <is>
          <t>Disc center bore</t>
        </is>
      </c>
      <c r="C18" s="3" t="inlineStr">
        <is>
          <t>MR148ZZ</t>
        </is>
      </c>
      <c r="D18" s="3" t="inlineStr">
        <is>
          <t>part no.</t>
        </is>
      </c>
      <c r="E18" s="3" t="inlineStr">
        <is>
          <t>Confirmed</t>
        </is>
      </c>
      <c r="F18" s="3" t="inlineStr">
        <is>
          <t>Selection / 2026-09-15</t>
        </is>
      </c>
      <c r="G18" s="3" t="inlineStr"/>
    </row>
    <row r="19">
      <c r="A19" s="2" t="inlineStr">
        <is>
          <t>Bearings</t>
        </is>
      </c>
      <c r="B19" s="2" t="inlineStr">
        <is>
          <t>Crankshaft</t>
        </is>
      </c>
      <c r="C19" s="2" t="inlineStr">
        <is>
          <t>687ZZ</t>
        </is>
      </c>
      <c r="D19" s="2" t="inlineStr">
        <is>
          <t>part no.</t>
        </is>
      </c>
      <c r="E19" s="2" t="inlineStr">
        <is>
          <t>Confirmed</t>
        </is>
      </c>
      <c r="F19" s="2" t="inlineStr">
        <is>
          <t>Selection / 2026-09-15</t>
        </is>
      </c>
      <c r="G19" s="2" t="inlineStr">
        <is>
          <t>Light press in each output flange</t>
        </is>
      </c>
    </row>
    <row r="20">
      <c r="A20" s="3" t="inlineStr">
        <is>
          <t>Materials</t>
        </is>
      </c>
      <c r="B20" s="3" t="inlineStr">
        <is>
          <t>Reducer components</t>
        </is>
      </c>
      <c r="C20" s="3" t="inlineStr">
        <is>
          <t>PETG</t>
        </is>
      </c>
      <c r="D20" s="3" t="inlineStr">
        <is>
          <t>material</t>
        </is>
      </c>
      <c r="E20" s="3" t="inlineStr">
        <is>
          <t>Confirmed</t>
        </is>
      </c>
      <c r="F20" s="3" t="inlineStr">
        <is>
          <t>Selection / 2026-09-15</t>
        </is>
      </c>
      <c r="G20" s="3" t="inlineStr">
        <is>
          <t>Except encoder housing</t>
        </is>
      </c>
    </row>
    <row r="21">
      <c r="A21" s="2" t="inlineStr">
        <is>
          <t>Materials</t>
        </is>
      </c>
      <c r="B21" s="2" t="inlineStr">
        <is>
          <t>Encoder housing</t>
        </is>
      </c>
      <c r="C21" s="2" t="inlineStr">
        <is>
          <t>PLA</t>
        </is>
      </c>
      <c r="D21" s="2" t="inlineStr">
        <is>
          <t>material</t>
        </is>
      </c>
      <c r="E21" s="2" t="inlineStr">
        <is>
          <t>Confirmed</t>
        </is>
      </c>
      <c r="F21" s="2" t="inlineStr">
        <is>
          <t>Selection / 2026-09-15</t>
        </is>
      </c>
      <c r="G21" s="2" t="inlineStr">
        <is>
          <t>Clip-on mount</t>
        </is>
      </c>
    </row>
    <row r="22">
      <c r="A22" s="3" t="inlineStr">
        <is>
          <t>Materials</t>
        </is>
      </c>
      <c r="B22" s="3" t="inlineStr">
        <is>
          <t>Lubricant</t>
        </is>
      </c>
      <c r="C22" s="3" t="inlineStr">
        <is>
          <t>Super Lube Multi-Purpose Synthetic Grease</t>
        </is>
      </c>
      <c r="D22" s="3" t="inlineStr">
        <is>
          <t>product</t>
        </is>
      </c>
      <c r="E22" s="3" t="inlineStr">
        <is>
          <t>Confirmed</t>
        </is>
      </c>
      <c r="F22" s="3" t="inlineStr">
        <is>
          <t>Selection / 2026-09-15</t>
        </is>
      </c>
      <c r="G22" s="3" t="inlineStr">
        <is>
          <t>PETG stressed-coupon result pending</t>
        </is>
      </c>
    </row>
    <row r="23">
      <c r="A23" s="2" t="inlineStr">
        <is>
          <t>Motor</t>
        </is>
      </c>
      <c r="B23" s="2" t="inlineStr">
        <is>
          <t>First motor</t>
        </is>
      </c>
      <c r="C23" s="2" t="inlineStr">
        <is>
          <t>NEMA 17 x 38 mm</t>
        </is>
      </c>
      <c r="D23" s="2" t="inlineStr">
        <is>
          <t>form factor</t>
        </is>
      </c>
      <c r="E23" s="2" t="inlineStr">
        <is>
          <t>Confirmed</t>
        </is>
      </c>
      <c r="F23" s="2" t="inlineStr">
        <is>
          <t>Selection / 2026-09-15</t>
        </is>
      </c>
      <c r="G23" s="2" t="inlineStr">
        <is>
          <t>Driver current and Vref to verify</t>
        </is>
      </c>
    </row>
    <row r="24">
      <c r="A24" s="3" t="inlineStr">
        <is>
          <t>Encoder</t>
        </is>
      </c>
      <c r="B24" s="3" t="inlineStr">
        <is>
          <t>Joint position sensor</t>
        </is>
      </c>
      <c r="C24" s="3" t="inlineStr">
        <is>
          <t>AS5600</t>
        </is>
      </c>
      <c r="D24" s="3" t="inlineStr">
        <is>
          <t>part no.</t>
        </is>
      </c>
      <c r="E24" s="3" t="inlineStr">
        <is>
          <t>Confirmed</t>
        </is>
      </c>
      <c r="F24" s="3" t="inlineStr">
        <is>
          <t>Selection / 2026-09-15</t>
        </is>
      </c>
      <c r="G24" s="3" t="inlineStr">
        <is>
          <t>Magnet and gap pending</t>
        </is>
      </c>
    </row>
  </sheetData>
  <mergeCells count="1">
    <mergeCell ref="A1:G1"/>
  </mergeCells>
  <conditionalFormatting sqref="E4:E24">
    <cfRule type="cellIs" priority="1" operator="equal" dxfId="0">
      <formula>"Pending"</formula>
    </cfRule>
    <cfRule type="cellIs" priority="2" operator="equal" dxfId="1">
      <formula>"Failing"</formula>
    </cfRule>
  </conditionalFormatting>
  <dataValidations count="1">
    <dataValidation sqref="E4:E24" showDropDown="0" showInputMessage="0" showErrorMessage="0" allowBlank="0" type="list">
      <formula1>"Confirmed,Assumed,Pending,Failing"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2" customWidth="1" min="4" max="4"/>
    <col width="16" customWidth="1" min="5" max="5"/>
    <col width="42" customWidth="1" min="6" max="6"/>
    <col width="28" customWidth="1" min="7" max="7"/>
  </cols>
  <sheetData>
    <row r="1" ht="25" customHeight="1">
      <c r="A1" s="1" t="inlineStr">
        <is>
          <t>Phase 1 Reducer and Control Electronics BOM</t>
        </is>
      </c>
    </row>
    <row r="3" ht="30" customHeight="1">
      <c r="A3" s="4" t="inlineStr">
        <is>
          <t>Subsystem</t>
        </is>
      </c>
      <c r="B3" s="4" t="inlineStr">
        <is>
          <t>Item</t>
        </is>
      </c>
      <c r="C3" s="4" t="inlineStr">
        <is>
          <t>Part / specification</t>
        </is>
      </c>
      <c r="D3" s="4" t="inlineStr">
        <is>
          <t>Qty</t>
        </is>
      </c>
      <c r="E3" s="4" t="inlineStr">
        <is>
          <t>Status</t>
        </is>
      </c>
      <c r="F3" s="4" t="inlineStr">
        <is>
          <t>Purpose</t>
        </is>
      </c>
      <c r="G3" s="4" t="inlineStr">
        <is>
          <t>Supplier / notes</t>
        </is>
      </c>
    </row>
    <row r="4">
      <c r="A4" s="3" t="inlineStr">
        <is>
          <t>Control</t>
        </is>
      </c>
      <c r="B4" s="3" t="inlineStr">
        <is>
          <t>Microcontroller</t>
        </is>
      </c>
      <c r="C4" s="3" t="inlineStr">
        <is>
          <t>Arduino Uno</t>
        </is>
      </c>
      <c r="D4" s="3" t="n">
        <v>1</v>
      </c>
      <c r="E4" s="3" t="inlineStr">
        <is>
          <t>On hand</t>
        </is>
      </c>
      <c r="F4" s="3" t="inlineStr">
        <is>
          <t>Phase 1 step generation and I2C control</t>
        </is>
      </c>
      <c r="G4" s="3" t="inlineStr">
        <is>
          <t>Elegoo starter kit</t>
        </is>
      </c>
    </row>
    <row r="5">
      <c r="A5" s="2" t="inlineStr">
        <is>
          <t>Motor control</t>
        </is>
      </c>
      <c r="B5" s="2" t="inlineStr">
        <is>
          <t>Stepper driver</t>
        </is>
      </c>
      <c r="C5" s="2" t="inlineStr">
        <is>
          <t>TMC2209 StepStick module</t>
        </is>
      </c>
      <c r="D5" s="2" t="n">
        <v>1</v>
      </c>
      <c r="E5" s="2" t="inlineStr">
        <is>
          <t>On hand</t>
        </is>
      </c>
      <c r="F5" s="2" t="inlineStr">
        <is>
          <t>NEMA 17 step/dir drive</t>
        </is>
      </c>
      <c r="G5" s="2" t="inlineStr">
        <is>
          <t>Heatsink fitted; Vref/current to verify</t>
        </is>
      </c>
    </row>
    <row r="6">
      <c r="A6" s="3" t="inlineStr">
        <is>
          <t>Sensing</t>
        </is>
      </c>
      <c r="B6" s="3" t="inlineStr">
        <is>
          <t>Absolute encoder</t>
        </is>
      </c>
      <c r="C6" s="3" t="inlineStr">
        <is>
          <t>AS5600 magnetic encoder breakout</t>
        </is>
      </c>
      <c r="D6" s="3" t="n">
        <v>1</v>
      </c>
      <c r="E6" s="3" t="inlineStr">
        <is>
          <t>On hand</t>
        </is>
      </c>
      <c r="F6" s="3" t="inlineStr">
        <is>
          <t>Output-side joint angle</t>
        </is>
      </c>
      <c r="G6" s="3" t="inlineStr">
        <is>
          <t>First test wires directly to Uno I2C</t>
        </is>
      </c>
    </row>
    <row r="7">
      <c r="A7" s="2" t="inlineStr">
        <is>
          <t>Sensing</t>
        </is>
      </c>
      <c r="B7" s="2" t="inlineStr">
        <is>
          <t>I2C mux</t>
        </is>
      </c>
      <c r="C7" s="2" t="inlineStr">
        <is>
          <t>TCA9548A breakout, address 0x70</t>
        </is>
      </c>
      <c r="D7" s="2" t="n">
        <v>1</v>
      </c>
      <c r="E7" s="2" t="inlineStr">
        <is>
          <t>On hand</t>
        </is>
      </c>
      <c r="F7" s="2" t="inlineStr">
        <is>
          <t>Separates multiple AS5600 encoders with shared address 0x36</t>
        </is>
      </c>
      <c r="G7" s="2" t="inlineStr">
        <is>
          <t>Not needed for one direct-wired encoder; required from joint 2</t>
        </is>
      </c>
    </row>
    <row r="8">
      <c r="A8" s="3" t="inlineStr">
        <is>
          <t>Power</t>
        </is>
      </c>
      <c r="B8" s="3" t="inlineStr">
        <is>
          <t>DC-DC converter</t>
        </is>
      </c>
      <c r="C8" s="3" t="inlineStr">
        <is>
          <t>5 V buck converter</t>
        </is>
      </c>
      <c r="D8" s="3" t="inlineStr">
        <is>
          <t>TBD</t>
        </is>
      </c>
      <c r="E8" s="3" t="inlineStr">
        <is>
          <t>On hand</t>
        </is>
      </c>
      <c r="F8" s="3" t="inlineStr">
        <is>
          <t>Regulated logic/encoder supply when required</t>
        </is>
      </c>
      <c r="G8" s="3" t="inlineStr">
        <is>
          <t>Record selected module, input, and output voltage before use</t>
        </is>
      </c>
    </row>
    <row r="9">
      <c r="A9" s="2" t="inlineStr">
        <is>
          <t>Output</t>
        </is>
      </c>
      <c r="B9" s="2" t="inlineStr">
        <is>
          <t>Main bearing</t>
        </is>
      </c>
      <c r="C9" s="2" t="inlineStr">
        <is>
          <t>6705-2RS</t>
        </is>
      </c>
      <c r="D9" s="2" t="n">
        <v>2</v>
      </c>
      <c r="E9" s="2" t="inlineStr">
        <is>
          <t>Selected</t>
        </is>
      </c>
      <c r="F9" s="2" t="inlineStr">
        <is>
          <t>Supports output flanges</t>
        </is>
      </c>
      <c r="G9" s="2" t="inlineStr">
        <is>
          <t>Flange land 25 mm; axial lip</t>
        </is>
      </c>
    </row>
    <row r="10">
      <c r="A10" s="3" t="inlineStr">
        <is>
          <t>Cycloidal</t>
        </is>
      </c>
      <c r="B10" s="3" t="inlineStr">
        <is>
          <t>Disc-center bearing</t>
        </is>
      </c>
      <c r="C10" s="3" t="inlineStr">
        <is>
          <t>MR148ZZ</t>
        </is>
      </c>
      <c r="D10" s="3" t="n">
        <v>2</v>
      </c>
      <c r="E10" s="3" t="inlineStr">
        <is>
          <t>Selected</t>
        </is>
      </c>
      <c r="F10" s="3" t="inlineStr">
        <is>
          <t>Supports cycloidal disc center bore</t>
        </is>
      </c>
      <c r="G10" s="3" t="inlineStr"/>
    </row>
    <row r="11">
      <c r="A11" s="2" t="inlineStr">
        <is>
          <t>Input</t>
        </is>
      </c>
      <c r="B11" s="2" t="inlineStr">
        <is>
          <t>Crankshaft bearing</t>
        </is>
      </c>
      <c r="C11" s="2" t="inlineStr">
        <is>
          <t>687ZZ</t>
        </is>
      </c>
      <c r="D11" s="2" t="n">
        <v>2</v>
      </c>
      <c r="E11" s="2" t="inlineStr">
        <is>
          <t>Selected</t>
        </is>
      </c>
      <c r="F11" s="2" t="inlineStr">
        <is>
          <t>Supports PETG crankshaft in output flanges</t>
        </is>
      </c>
      <c r="G11" s="2" t="inlineStr">
        <is>
          <t>Light press</t>
        </is>
      </c>
    </row>
    <row r="12">
      <c r="A12" s="3" t="inlineStr">
        <is>
          <t>Cycloidal</t>
        </is>
      </c>
      <c r="B12" s="3" t="inlineStr">
        <is>
          <t>Cycloidal discs</t>
        </is>
      </c>
      <c r="C12" s="3" t="inlineStr">
        <is>
          <t>PETG, 15 lobes, 4 mm</t>
        </is>
      </c>
      <c r="D12" s="3" t="n">
        <v>2</v>
      </c>
      <c r="E12" s="3" t="inlineStr">
        <is>
          <t>Print</t>
        </is>
      </c>
      <c r="F12" s="3" t="inlineStr">
        <is>
          <t>15:1 stage; 180 deg indexed</t>
        </is>
      </c>
      <c r="G12" s="3" t="inlineStr"/>
    </row>
    <row r="13">
      <c r="A13" s="2" t="inlineStr">
        <is>
          <t>Cycloidal</t>
        </is>
      </c>
      <c r="B13" s="2" t="inlineStr">
        <is>
          <t>Integral ring pins</t>
        </is>
      </c>
      <c r="C13" s="2" t="inlineStr">
        <is>
          <t>PETG, 3.5 mm diameter</t>
        </is>
      </c>
      <c r="D13" s="2" t="n">
        <v>16</v>
      </c>
      <c r="E13" s="2" t="inlineStr">
        <is>
          <t>Print</t>
        </is>
      </c>
      <c r="F13" s="2" t="inlineStr">
        <is>
          <t>Fixed ring; side-embedded in housing</t>
        </is>
      </c>
      <c r="G13" s="2" t="inlineStr">
        <is>
          <t>CAD root geometry pending</t>
        </is>
      </c>
    </row>
    <row r="14">
      <c r="A14" s="3" t="inlineStr">
        <is>
          <t>Output</t>
        </is>
      </c>
      <c r="B14" s="3" t="inlineStr">
        <is>
          <t>Output shafts</t>
        </is>
      </c>
      <c r="C14" s="3" t="inlineStr">
        <is>
          <t>M3 shoulder bolt, 4 mm shoulder</t>
        </is>
      </c>
      <c r="D14" s="3" t="n">
        <v>6</v>
      </c>
      <c r="E14" s="3" t="inlineStr">
        <is>
          <t>Procure</t>
        </is>
      </c>
      <c r="F14" s="3" t="inlineStr">
        <is>
          <t>Transfers disc motion; retains core</t>
        </is>
      </c>
      <c r="G14" s="3" t="inlineStr">
        <is>
          <t>23 mm diameter circle</t>
        </is>
      </c>
    </row>
    <row r="15">
      <c r="A15" s="2" t="inlineStr">
        <is>
          <t>Output</t>
        </is>
      </c>
      <c r="B15" s="2" t="inlineStr">
        <is>
          <t>PTFE spacer</t>
        </is>
      </c>
      <c r="C15" s="2" t="inlineStr">
        <is>
          <t>0.8 mm</t>
        </is>
      </c>
      <c r="D15" s="2" t="n">
        <v>3</v>
      </c>
      <c r="E15" s="2" t="inlineStr">
        <is>
          <t>Procure</t>
        </is>
      </c>
      <c r="F15" s="2" t="inlineStr">
        <is>
          <t>Disc-to-flange separation</t>
        </is>
      </c>
      <c r="G15" s="2" t="inlineStr"/>
    </row>
    <row r="16">
      <c r="A16" s="3" t="inlineStr">
        <is>
          <t>Interface</t>
        </is>
      </c>
      <c r="B16" s="3" t="inlineStr">
        <is>
          <t>Link inserts</t>
        </is>
      </c>
      <c r="C16" s="3" t="inlineStr">
        <is>
          <t>M3 heat-set insert</t>
        </is>
      </c>
      <c r="D16" s="3" t="n">
        <v>6</v>
      </c>
      <c r="E16" s="3" t="inlineStr">
        <is>
          <t>Procure</t>
        </is>
      </c>
      <c r="F16" s="3" t="inlineStr">
        <is>
          <t>Linkage connection</t>
        </is>
      </c>
      <c r="G16" s="3" t="inlineStr">
        <is>
          <t>16 mm diameter circle</t>
        </is>
      </c>
    </row>
    <row r="17">
      <c r="A17" s="2" t="inlineStr">
        <is>
          <t>Fasteners</t>
        </is>
      </c>
      <c r="B17" s="2" t="inlineStr">
        <is>
          <t>Internal fasteners</t>
        </is>
      </c>
      <c r="C17" s="2" t="inlineStr">
        <is>
          <t>M3</t>
        </is>
      </c>
      <c r="D17" s="2" t="inlineStr">
        <is>
          <t>TBD</t>
        </is>
      </c>
      <c r="E17" s="2" t="inlineStr">
        <is>
          <t>Procure</t>
        </is>
      </c>
      <c r="F17" s="2" t="inlineStr">
        <is>
          <t>Reducer assembly</t>
        </is>
      </c>
      <c r="G17" s="2" t="inlineStr">
        <is>
          <t>Lengths pending flange design</t>
        </is>
      </c>
    </row>
    <row r="18">
      <c r="A18" s="3" t="inlineStr">
        <is>
          <t>Input</t>
        </is>
      </c>
      <c r="B18" s="3" t="inlineStr">
        <is>
          <t>Crankshaft</t>
        </is>
      </c>
      <c r="C18" s="3" t="inlineStr">
        <is>
          <t>PETG, NEMA 17 shaft-flat drive</t>
        </is>
      </c>
      <c r="D18" s="3" t="n">
        <v>1</v>
      </c>
      <c r="E18" s="3" t="inlineStr">
        <is>
          <t>Print</t>
        </is>
      </c>
      <c r="F18" s="3" t="inlineStr">
        <is>
          <t>Eccentric input</t>
        </is>
      </c>
      <c r="G18" s="3" t="inlineStr"/>
    </row>
    <row r="19">
      <c r="A19" s="2" t="inlineStr">
        <is>
          <t>Encoder</t>
        </is>
      </c>
      <c r="B19" s="2" t="inlineStr">
        <is>
          <t>Encoder</t>
        </is>
      </c>
      <c r="C19" s="2" t="inlineStr">
        <is>
          <t>AS5600 absolute magnetic</t>
        </is>
      </c>
      <c r="D19" s="2" t="n">
        <v>1</v>
      </c>
      <c r="E19" s="2" t="inlineStr">
        <is>
          <t>On hand</t>
        </is>
      </c>
      <c r="F19" s="2" t="inlineStr">
        <is>
          <t>Output-side joint angle</t>
        </is>
      </c>
      <c r="G19" s="2" t="inlineStr">
        <is>
          <t>Magnet and gap pending</t>
        </is>
      </c>
    </row>
    <row r="20">
      <c r="A20" s="3" t="inlineStr">
        <is>
          <t>Lubrication</t>
        </is>
      </c>
      <c r="B20" s="3" t="inlineStr">
        <is>
          <t>Grease</t>
        </is>
      </c>
      <c r="C20" s="3" t="inlineStr">
        <is>
          <t>Super Lube Multi-Purpose Synthetic</t>
        </is>
      </c>
      <c r="D20" s="3" t="n">
        <v>1</v>
      </c>
      <c r="E20" s="3" t="inlineStr">
        <is>
          <t>On hand</t>
        </is>
      </c>
      <c r="F20" s="3" t="inlineStr">
        <is>
          <t>Run-in and friction reduction</t>
        </is>
      </c>
      <c r="G20" s="3" t="inlineStr">
        <is>
          <t>Coupon compatibility test pending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</cols>
  <sheetData>
    <row r="1" ht="25" customHeight="1">
      <c r="A1" s="1" t="inlineStr">
        <is>
          <t>Cycloidal Profile - SolidWorks Equation Calculator</t>
        </is>
      </c>
    </row>
    <row r="3" ht="30" customHeight="1">
      <c r="A3" s="4" t="inlineStr">
        <is>
          <t>Input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Formula / interpretation</t>
        </is>
      </c>
      <c r="E3" s="4" t="inlineStr"/>
      <c r="F3" s="4" t="inlineStr"/>
      <c r="G3" s="4" t="inlineStr"/>
    </row>
    <row r="4">
      <c r="A4" s="3" t="inlineStr">
        <is>
          <t>N</t>
        </is>
      </c>
      <c r="B4" s="3" t="n">
        <v>16</v>
      </c>
      <c r="C4" s="3" t="inlineStr">
        <is>
          <t>count</t>
        </is>
      </c>
      <c r="D4" s="3" t="inlineStr">
        <is>
          <t>Ring pins</t>
        </is>
      </c>
    </row>
    <row r="5">
      <c r="A5" s="2" t="inlineStr">
        <is>
          <t>R</t>
        </is>
      </c>
      <c r="B5" s="2" t="n">
        <v>18</v>
      </c>
      <c r="C5" s="2" t="inlineStr">
        <is>
          <t>mm</t>
        </is>
      </c>
      <c r="D5" s="2" t="inlineStr">
        <is>
          <t>Ring-pin-circle radius</t>
        </is>
      </c>
    </row>
    <row r="6">
      <c r="A6" s="3" t="inlineStr">
        <is>
          <t>Rr</t>
        </is>
      </c>
      <c r="B6" s="3" t="n">
        <v>1.75</v>
      </c>
      <c r="C6" s="3" t="inlineStr">
        <is>
          <t>mm</t>
        </is>
      </c>
      <c r="D6" s="3" t="inlineStr">
        <is>
          <t>Ring pin radius</t>
        </is>
      </c>
    </row>
    <row r="7">
      <c r="A7" s="2" t="inlineStr">
        <is>
          <t>e</t>
        </is>
      </c>
      <c r="B7" s="2" t="n">
        <v>0.65</v>
      </c>
      <c r="C7" s="2" t="inlineStr">
        <is>
          <t>mm</t>
        </is>
      </c>
      <c r="D7" s="2" t="inlineStr">
        <is>
          <t>Eccentricity</t>
        </is>
      </c>
    </row>
    <row r="8">
      <c r="A8" s="3" t="inlineStr">
        <is>
          <t>Lobes</t>
        </is>
      </c>
      <c r="B8" s="3">
        <f>B4-1</f>
        <v/>
      </c>
      <c r="C8" s="3" t="inlineStr">
        <is>
          <t>count</t>
        </is>
      </c>
      <c r="D8" s="3" t="inlineStr">
        <is>
          <t>N - 1</t>
        </is>
      </c>
    </row>
    <row r="9">
      <c r="A9" s="2" t="inlineStr">
        <is>
          <t>Ratio</t>
        </is>
      </c>
      <c r="B9" s="2">
        <f>B8</f>
        <v/>
      </c>
      <c r="C9" s="2" t="inlineStr">
        <is>
          <t>:1</t>
        </is>
      </c>
      <c r="D9" s="2" t="inlineStr">
        <is>
          <t>N - 1 : 1</t>
        </is>
      </c>
    </row>
    <row r="10">
      <c r="A10" s="3" t="inlineStr">
        <is>
          <t>K</t>
        </is>
      </c>
      <c r="B10" s="3">
        <f>B7*B4/B5</f>
        <v/>
      </c>
      <c r="C10" s="3" t="inlineStr"/>
      <c r="D10" s="3" t="inlineStr">
        <is>
          <t>e*N/R; practical target 0.4 to 0.8</t>
        </is>
      </c>
    </row>
    <row r="12">
      <c r="A12" s="5" t="inlineStr">
        <is>
          <t>SolidWorks equations (t in radians)</t>
        </is>
      </c>
    </row>
    <row r="13">
      <c r="A13" s="2" t="inlineStr">
        <is>
          <t>psi(t)</t>
        </is>
      </c>
      <c r="B13" s="2" t="inlineStr">
        <is>
          <t>atan2(sin((1-N)*t), R/(e*N)-cos((1-N)*t))</t>
        </is>
      </c>
    </row>
    <row r="14">
      <c r="A14" s="3" t="inlineStr">
        <is>
          <t>x(t)</t>
        </is>
      </c>
      <c r="B14" s="3" t="inlineStr">
        <is>
          <t>R*cos(t)-Rr*cos(t+psi)-e*cos(N*t)</t>
        </is>
      </c>
    </row>
    <row r="15">
      <c r="A15" s="2" t="inlineStr">
        <is>
          <t>y(t)</t>
        </is>
      </c>
      <c r="B15" s="2" t="inlineStr">
        <is>
          <t>-R*sin(t)+Rr*sin(t+psi)+e*sin(N*t)</t>
        </is>
      </c>
    </row>
    <row r="18" ht="30" customHeight="1">
      <c r="A18" s="4" t="inlineStr">
        <is>
          <t>t (deg)</t>
        </is>
      </c>
      <c r="B18" s="4" t="inlineStr">
        <is>
          <t>t (rad)</t>
        </is>
      </c>
      <c r="C18" s="4" t="inlineStr">
        <is>
          <t>psi (rad)</t>
        </is>
      </c>
      <c r="D18" s="4" t="inlineStr">
        <is>
          <t>x (mm)</t>
        </is>
      </c>
      <c r="E18" s="4" t="inlineStr">
        <is>
          <t>y (mm)</t>
        </is>
      </c>
      <c r="F18" s="4" t="inlineStr">
        <is>
          <t>Use</t>
        </is>
      </c>
      <c r="G18" s="4" t="inlineStr"/>
    </row>
    <row r="19">
      <c r="A19" t="n">
        <v>0</v>
      </c>
      <c r="B19">
        <f>RADIANS(A19)</f>
        <v/>
      </c>
      <c r="C19">
        <f>ATAN2(SIN((1-$B$4)*B19),$B$5/($B$7*$B$4)-COS((1-$B$4)*B19))</f>
        <v/>
      </c>
      <c r="D19">
        <f>$B$5*COS(B19)-$B$6*COS(B19+C19)-$B$7*COS($B$4*B19)</f>
        <v/>
      </c>
      <c r="E19">
        <f>-$B$5*SIN(B19)+$B$6*SIN(B19+C19)+$B$7*SIN($B$4*B19)</f>
        <v/>
      </c>
      <c r="F19" t="inlineStr">
        <is>
          <t>Copy x(t), y(t) into SolidWorks Equation Driven Curve</t>
        </is>
      </c>
    </row>
    <row r="20">
      <c r="A20">
        <f>A19+1</f>
        <v/>
      </c>
      <c r="B20">
        <f>RADIANS(A20)</f>
        <v/>
      </c>
      <c r="C20">
        <f>ATAN2(SIN((1-$B$4)*B20),$B$5/($B$7*$B$4)-COS((1-$B$4)*B20))</f>
        <v/>
      </c>
      <c r="D20">
        <f>$B$5*COS(B20)-$B$6*COS(B20+C20)-$B$7*COS($B$4*B20)</f>
        <v/>
      </c>
      <c r="E20">
        <f>-$B$5*SIN(B20)+$B$6*SIN(B20+C20)+$B$7*SIN($B$4*B20)</f>
        <v/>
      </c>
      <c r="F20" t="inlineStr">
        <is>
          <t>Copy x(t), y(t) into SolidWorks Equation Driven Curve</t>
        </is>
      </c>
    </row>
    <row r="21">
      <c r="A21">
        <f>A20+1</f>
        <v/>
      </c>
      <c r="B21">
        <f>RADIANS(A21)</f>
        <v/>
      </c>
      <c r="C21">
        <f>ATAN2(SIN((1-$B$4)*B21),$B$5/($B$7*$B$4)-COS((1-$B$4)*B21))</f>
        <v/>
      </c>
      <c r="D21">
        <f>$B$5*COS(B21)-$B$6*COS(B21+C21)-$B$7*COS($B$4*B21)</f>
        <v/>
      </c>
      <c r="E21">
        <f>-$B$5*SIN(B21)+$B$6*SIN(B21+C21)+$B$7*SIN($B$4*B21)</f>
        <v/>
      </c>
      <c r="F21" t="inlineStr">
        <is>
          <t>Copy x(t), y(t) into SolidWorks Equation Driven Curve</t>
        </is>
      </c>
    </row>
    <row r="22">
      <c r="A22">
        <f>A21+1</f>
        <v/>
      </c>
      <c r="B22">
        <f>RADIANS(A22)</f>
        <v/>
      </c>
      <c r="C22">
        <f>ATAN2(SIN((1-$B$4)*B22),$B$5/($B$7*$B$4)-COS((1-$B$4)*B22))</f>
        <v/>
      </c>
      <c r="D22">
        <f>$B$5*COS(B22)-$B$6*COS(B22+C22)-$B$7*COS($B$4*B22)</f>
        <v/>
      </c>
      <c r="E22">
        <f>-$B$5*SIN(B22)+$B$6*SIN(B22+C22)+$B$7*SIN($B$4*B22)</f>
        <v/>
      </c>
      <c r="F22" t="inlineStr">
        <is>
          <t>Copy x(t), y(t) into SolidWorks Equation Driven Curve</t>
        </is>
      </c>
    </row>
    <row r="23">
      <c r="A23">
        <f>A22+1</f>
        <v/>
      </c>
      <c r="B23">
        <f>RADIANS(A23)</f>
        <v/>
      </c>
      <c r="C23">
        <f>ATAN2(SIN((1-$B$4)*B23),$B$5/($B$7*$B$4)-COS((1-$B$4)*B23))</f>
        <v/>
      </c>
      <c r="D23">
        <f>$B$5*COS(B23)-$B$6*COS(B23+C23)-$B$7*COS($B$4*B23)</f>
        <v/>
      </c>
      <c r="E23">
        <f>-$B$5*SIN(B23)+$B$6*SIN(B23+C23)+$B$7*SIN($B$4*B23)</f>
        <v/>
      </c>
      <c r="F23" t="inlineStr">
        <is>
          <t>Copy x(t), y(t) into SolidWorks Equation Driven Curve</t>
        </is>
      </c>
    </row>
    <row r="24">
      <c r="A24">
        <f>A23+1</f>
        <v/>
      </c>
      <c r="B24">
        <f>RADIANS(A24)</f>
        <v/>
      </c>
      <c r="C24">
        <f>ATAN2(SIN((1-$B$4)*B24),$B$5/($B$7*$B$4)-COS((1-$B$4)*B24))</f>
        <v/>
      </c>
      <c r="D24">
        <f>$B$5*COS(B24)-$B$6*COS(B24+C24)-$B$7*COS($B$4*B24)</f>
        <v/>
      </c>
      <c r="E24">
        <f>-$B$5*SIN(B24)+$B$6*SIN(B24+C24)+$B$7*SIN($B$4*B24)</f>
        <v/>
      </c>
      <c r="F24" t="inlineStr">
        <is>
          <t>Copy x(t), y(t) into SolidWorks Equation Driven Curve</t>
        </is>
      </c>
    </row>
    <row r="25">
      <c r="A25">
        <f>A24+1</f>
        <v/>
      </c>
      <c r="B25">
        <f>RADIANS(A25)</f>
        <v/>
      </c>
      <c r="C25">
        <f>ATAN2(SIN((1-$B$4)*B25),$B$5/($B$7*$B$4)-COS((1-$B$4)*B25))</f>
        <v/>
      </c>
      <c r="D25">
        <f>$B$5*COS(B25)-$B$6*COS(B25+C25)-$B$7*COS($B$4*B25)</f>
        <v/>
      </c>
      <c r="E25">
        <f>-$B$5*SIN(B25)+$B$6*SIN(B25+C25)+$B$7*SIN($B$4*B25)</f>
        <v/>
      </c>
      <c r="F25" t="inlineStr">
        <is>
          <t>Copy x(t), y(t) into SolidWorks Equation Driven Curve</t>
        </is>
      </c>
    </row>
    <row r="26">
      <c r="A26">
        <f>A25+1</f>
        <v/>
      </c>
      <c r="B26">
        <f>RADIANS(A26)</f>
        <v/>
      </c>
      <c r="C26">
        <f>ATAN2(SIN((1-$B$4)*B26),$B$5/($B$7*$B$4)-COS((1-$B$4)*B26))</f>
        <v/>
      </c>
      <c r="D26">
        <f>$B$5*COS(B26)-$B$6*COS(B26+C26)-$B$7*COS($B$4*B26)</f>
        <v/>
      </c>
      <c r="E26">
        <f>-$B$5*SIN(B26)+$B$6*SIN(B26+C26)+$B$7*SIN($B$4*B26)</f>
        <v/>
      </c>
      <c r="F26" t="inlineStr">
        <is>
          <t>Copy x(t), y(t) into SolidWorks Equation Driven Curve</t>
        </is>
      </c>
    </row>
    <row r="27">
      <c r="A27">
        <f>A26+1</f>
        <v/>
      </c>
      <c r="B27">
        <f>RADIANS(A27)</f>
        <v/>
      </c>
      <c r="C27">
        <f>ATAN2(SIN((1-$B$4)*B27),$B$5/($B$7*$B$4)-COS((1-$B$4)*B27))</f>
        <v/>
      </c>
      <c r="D27">
        <f>$B$5*COS(B27)-$B$6*COS(B27+C27)-$B$7*COS($B$4*B27)</f>
        <v/>
      </c>
      <c r="E27">
        <f>-$B$5*SIN(B27)+$B$6*SIN(B27+C27)+$B$7*SIN($B$4*B27)</f>
        <v/>
      </c>
      <c r="F27" t="inlineStr">
        <is>
          <t>Copy x(t), y(t) into SolidWorks Equation Driven Curve</t>
        </is>
      </c>
    </row>
    <row r="28">
      <c r="A28">
        <f>A27+1</f>
        <v/>
      </c>
      <c r="B28">
        <f>RADIANS(A28)</f>
        <v/>
      </c>
      <c r="C28">
        <f>ATAN2(SIN((1-$B$4)*B28),$B$5/($B$7*$B$4)-COS((1-$B$4)*B28))</f>
        <v/>
      </c>
      <c r="D28">
        <f>$B$5*COS(B28)-$B$6*COS(B28+C28)-$B$7*COS($B$4*B28)</f>
        <v/>
      </c>
      <c r="E28">
        <f>-$B$5*SIN(B28)+$B$6*SIN(B28+C28)+$B$7*SIN($B$4*B28)</f>
        <v/>
      </c>
      <c r="F28" t="inlineStr">
        <is>
          <t>Copy x(t), y(t) into SolidWorks Equation Driven Curve</t>
        </is>
      </c>
    </row>
    <row r="29">
      <c r="A29">
        <f>A28+1</f>
        <v/>
      </c>
      <c r="B29">
        <f>RADIANS(A29)</f>
        <v/>
      </c>
      <c r="C29">
        <f>ATAN2(SIN((1-$B$4)*B29),$B$5/($B$7*$B$4)-COS((1-$B$4)*B29))</f>
        <v/>
      </c>
      <c r="D29">
        <f>$B$5*COS(B29)-$B$6*COS(B29+C29)-$B$7*COS($B$4*B29)</f>
        <v/>
      </c>
      <c r="E29">
        <f>-$B$5*SIN(B29)+$B$6*SIN(B29+C29)+$B$7*SIN($B$4*B29)</f>
        <v/>
      </c>
      <c r="F29" t="inlineStr">
        <is>
          <t>Copy x(t), y(t) into SolidWorks Equation Driven Curve</t>
        </is>
      </c>
    </row>
    <row r="30">
      <c r="A30">
        <f>A29+1</f>
        <v/>
      </c>
      <c r="B30">
        <f>RADIANS(A30)</f>
        <v/>
      </c>
      <c r="C30">
        <f>ATAN2(SIN((1-$B$4)*B30),$B$5/($B$7*$B$4)-COS((1-$B$4)*B30))</f>
        <v/>
      </c>
      <c r="D30">
        <f>$B$5*COS(B30)-$B$6*COS(B30+C30)-$B$7*COS($B$4*B30)</f>
        <v/>
      </c>
      <c r="E30">
        <f>-$B$5*SIN(B30)+$B$6*SIN(B30+C30)+$B$7*SIN($B$4*B30)</f>
        <v/>
      </c>
      <c r="F30" t="inlineStr">
        <is>
          <t>Copy x(t), y(t) into SolidWorks Equation Driven Curve</t>
        </is>
      </c>
    </row>
    <row r="31">
      <c r="A31">
        <f>A30+1</f>
        <v/>
      </c>
      <c r="B31">
        <f>RADIANS(A31)</f>
        <v/>
      </c>
      <c r="C31">
        <f>ATAN2(SIN((1-$B$4)*B31),$B$5/($B$7*$B$4)-COS((1-$B$4)*B31))</f>
        <v/>
      </c>
      <c r="D31">
        <f>$B$5*COS(B31)-$B$6*COS(B31+C31)-$B$7*COS($B$4*B31)</f>
        <v/>
      </c>
      <c r="E31">
        <f>-$B$5*SIN(B31)+$B$6*SIN(B31+C31)+$B$7*SIN($B$4*B31)</f>
        <v/>
      </c>
      <c r="F31" t="inlineStr">
        <is>
          <t>Copy x(t), y(t) into SolidWorks Equation Driven Curve</t>
        </is>
      </c>
    </row>
    <row r="32">
      <c r="A32">
        <f>A31+1</f>
        <v/>
      </c>
      <c r="B32">
        <f>RADIANS(A32)</f>
        <v/>
      </c>
      <c r="C32">
        <f>ATAN2(SIN((1-$B$4)*B32),$B$5/($B$7*$B$4)-COS((1-$B$4)*B32))</f>
        <v/>
      </c>
      <c r="D32">
        <f>$B$5*COS(B32)-$B$6*COS(B32+C32)-$B$7*COS($B$4*B32)</f>
        <v/>
      </c>
      <c r="E32">
        <f>-$B$5*SIN(B32)+$B$6*SIN(B32+C32)+$B$7*SIN($B$4*B32)</f>
        <v/>
      </c>
      <c r="F32" t="inlineStr">
        <is>
          <t>Copy x(t), y(t) into SolidWorks Equation Driven Curve</t>
        </is>
      </c>
    </row>
    <row r="33">
      <c r="A33">
        <f>A32+1</f>
        <v/>
      </c>
      <c r="B33">
        <f>RADIANS(A33)</f>
        <v/>
      </c>
      <c r="C33">
        <f>ATAN2(SIN((1-$B$4)*B33),$B$5/($B$7*$B$4)-COS((1-$B$4)*B33))</f>
        <v/>
      </c>
      <c r="D33">
        <f>$B$5*COS(B33)-$B$6*COS(B33+C33)-$B$7*COS($B$4*B33)</f>
        <v/>
      </c>
      <c r="E33">
        <f>-$B$5*SIN(B33)+$B$6*SIN(B33+C33)+$B$7*SIN($B$4*B33)</f>
        <v/>
      </c>
      <c r="F33" t="inlineStr">
        <is>
          <t>Copy x(t), y(t) into SolidWorks Equation Driven Curve</t>
        </is>
      </c>
    </row>
    <row r="34">
      <c r="A34">
        <f>A33+1</f>
        <v/>
      </c>
      <c r="B34">
        <f>RADIANS(A34)</f>
        <v/>
      </c>
      <c r="C34">
        <f>ATAN2(SIN((1-$B$4)*B34),$B$5/($B$7*$B$4)-COS((1-$B$4)*B34))</f>
        <v/>
      </c>
      <c r="D34">
        <f>$B$5*COS(B34)-$B$6*COS(B34+C34)-$B$7*COS($B$4*B34)</f>
        <v/>
      </c>
      <c r="E34">
        <f>-$B$5*SIN(B34)+$B$6*SIN(B34+C34)+$B$7*SIN($B$4*B34)</f>
        <v/>
      </c>
      <c r="F34" t="inlineStr">
        <is>
          <t>Copy x(t), y(t) into SolidWorks Equation Driven Curve</t>
        </is>
      </c>
    </row>
    <row r="35">
      <c r="A35">
        <f>A34+1</f>
        <v/>
      </c>
      <c r="B35">
        <f>RADIANS(A35)</f>
        <v/>
      </c>
      <c r="C35">
        <f>ATAN2(SIN((1-$B$4)*B35),$B$5/($B$7*$B$4)-COS((1-$B$4)*B35))</f>
        <v/>
      </c>
      <c r="D35">
        <f>$B$5*COS(B35)-$B$6*COS(B35+C35)-$B$7*COS($B$4*B35)</f>
        <v/>
      </c>
      <c r="E35">
        <f>-$B$5*SIN(B35)+$B$6*SIN(B35+C35)+$B$7*SIN($B$4*B35)</f>
        <v/>
      </c>
      <c r="F35" t="inlineStr">
        <is>
          <t>Copy x(t), y(t) into SolidWorks Equation Driven Curve</t>
        </is>
      </c>
    </row>
    <row r="36">
      <c r="A36">
        <f>A35+1</f>
        <v/>
      </c>
      <c r="B36">
        <f>RADIANS(A36)</f>
        <v/>
      </c>
      <c r="C36">
        <f>ATAN2(SIN((1-$B$4)*B36),$B$5/($B$7*$B$4)-COS((1-$B$4)*B36))</f>
        <v/>
      </c>
      <c r="D36">
        <f>$B$5*COS(B36)-$B$6*COS(B36+C36)-$B$7*COS($B$4*B36)</f>
        <v/>
      </c>
      <c r="E36">
        <f>-$B$5*SIN(B36)+$B$6*SIN(B36+C36)+$B$7*SIN($B$4*B36)</f>
        <v/>
      </c>
      <c r="F36" t="inlineStr">
        <is>
          <t>Copy x(t), y(t) into SolidWorks Equation Driven Curve</t>
        </is>
      </c>
    </row>
    <row r="37">
      <c r="A37">
        <f>A36+1</f>
        <v/>
      </c>
      <c r="B37">
        <f>RADIANS(A37)</f>
        <v/>
      </c>
      <c r="C37">
        <f>ATAN2(SIN((1-$B$4)*B37),$B$5/($B$7*$B$4)-COS((1-$B$4)*B37))</f>
        <v/>
      </c>
      <c r="D37">
        <f>$B$5*COS(B37)-$B$6*COS(B37+C37)-$B$7*COS($B$4*B37)</f>
        <v/>
      </c>
      <c r="E37">
        <f>-$B$5*SIN(B37)+$B$6*SIN(B37+C37)+$B$7*SIN($B$4*B37)</f>
        <v/>
      </c>
      <c r="F37" t="inlineStr">
        <is>
          <t>Copy x(t), y(t) into SolidWorks Equation Driven Curve</t>
        </is>
      </c>
    </row>
    <row r="38">
      <c r="A38">
        <f>A37+1</f>
        <v/>
      </c>
      <c r="B38">
        <f>RADIANS(A38)</f>
        <v/>
      </c>
      <c r="C38">
        <f>ATAN2(SIN((1-$B$4)*B38),$B$5/($B$7*$B$4)-COS((1-$B$4)*B38))</f>
        <v/>
      </c>
      <c r="D38">
        <f>$B$5*COS(B38)-$B$6*COS(B38+C38)-$B$7*COS($B$4*B38)</f>
        <v/>
      </c>
      <c r="E38">
        <f>-$B$5*SIN(B38)+$B$6*SIN(B38+C38)+$B$7*SIN($B$4*B38)</f>
        <v/>
      </c>
      <c r="F38" t="inlineStr">
        <is>
          <t>Copy x(t), y(t) into SolidWorks Equation Driven Curve</t>
        </is>
      </c>
    </row>
    <row r="39">
      <c r="A39">
        <f>A38+1</f>
        <v/>
      </c>
      <c r="B39">
        <f>RADIANS(A39)</f>
        <v/>
      </c>
      <c r="C39">
        <f>ATAN2(SIN((1-$B$4)*B39),$B$5/($B$7*$B$4)-COS((1-$B$4)*B39))</f>
        <v/>
      </c>
      <c r="D39">
        <f>$B$5*COS(B39)-$B$6*COS(B39+C39)-$B$7*COS($B$4*B39)</f>
        <v/>
      </c>
      <c r="E39">
        <f>-$B$5*SIN(B39)+$B$6*SIN(B39+C39)+$B$7*SIN($B$4*B39)</f>
        <v/>
      </c>
      <c r="F39" t="inlineStr">
        <is>
          <t>Copy x(t), y(t) into SolidWorks Equation Driven Curve</t>
        </is>
      </c>
    </row>
    <row r="40">
      <c r="A40">
        <f>A39+1</f>
        <v/>
      </c>
      <c r="B40">
        <f>RADIANS(A40)</f>
        <v/>
      </c>
      <c r="C40">
        <f>ATAN2(SIN((1-$B$4)*B40),$B$5/($B$7*$B$4)-COS((1-$B$4)*B40))</f>
        <v/>
      </c>
      <c r="D40">
        <f>$B$5*COS(B40)-$B$6*COS(B40+C40)-$B$7*COS($B$4*B40)</f>
        <v/>
      </c>
      <c r="E40">
        <f>-$B$5*SIN(B40)+$B$6*SIN(B40+C40)+$B$7*SIN($B$4*B40)</f>
        <v/>
      </c>
      <c r="F40" t="inlineStr">
        <is>
          <t>Copy x(t), y(t) into SolidWorks Equation Driven Curve</t>
        </is>
      </c>
    </row>
    <row r="41">
      <c r="A41">
        <f>A40+1</f>
        <v/>
      </c>
      <c r="B41">
        <f>RADIANS(A41)</f>
        <v/>
      </c>
      <c r="C41">
        <f>ATAN2(SIN((1-$B$4)*B41),$B$5/($B$7*$B$4)-COS((1-$B$4)*B41))</f>
        <v/>
      </c>
      <c r="D41">
        <f>$B$5*COS(B41)-$B$6*COS(B41+C41)-$B$7*COS($B$4*B41)</f>
        <v/>
      </c>
      <c r="E41">
        <f>-$B$5*SIN(B41)+$B$6*SIN(B41+C41)+$B$7*SIN($B$4*B41)</f>
        <v/>
      </c>
      <c r="F41" t="inlineStr">
        <is>
          <t>Copy x(t), y(t) into SolidWorks Equation Driven Curve</t>
        </is>
      </c>
    </row>
    <row r="42">
      <c r="A42">
        <f>A41+1</f>
        <v/>
      </c>
      <c r="B42">
        <f>RADIANS(A42)</f>
        <v/>
      </c>
      <c r="C42">
        <f>ATAN2(SIN((1-$B$4)*B42),$B$5/($B$7*$B$4)-COS((1-$B$4)*B42))</f>
        <v/>
      </c>
      <c r="D42">
        <f>$B$5*COS(B42)-$B$6*COS(B42+C42)-$B$7*COS($B$4*B42)</f>
        <v/>
      </c>
      <c r="E42">
        <f>-$B$5*SIN(B42)+$B$6*SIN(B42+C42)+$B$7*SIN($B$4*B42)</f>
        <v/>
      </c>
      <c r="F42" t="inlineStr">
        <is>
          <t>Copy x(t), y(t) into SolidWorks Equation Driven Curve</t>
        </is>
      </c>
    </row>
    <row r="43">
      <c r="A43">
        <f>A42+1</f>
        <v/>
      </c>
      <c r="B43">
        <f>RADIANS(A43)</f>
        <v/>
      </c>
      <c r="C43">
        <f>ATAN2(SIN((1-$B$4)*B43),$B$5/($B$7*$B$4)-COS((1-$B$4)*B43))</f>
        <v/>
      </c>
      <c r="D43">
        <f>$B$5*COS(B43)-$B$6*COS(B43+C43)-$B$7*COS($B$4*B43)</f>
        <v/>
      </c>
      <c r="E43">
        <f>-$B$5*SIN(B43)+$B$6*SIN(B43+C43)+$B$7*SIN($B$4*B43)</f>
        <v/>
      </c>
      <c r="F43" t="inlineStr">
        <is>
          <t>Copy x(t), y(t) into SolidWorks Equation Driven Curve</t>
        </is>
      </c>
    </row>
    <row r="44">
      <c r="A44">
        <f>A43+1</f>
        <v/>
      </c>
      <c r="B44">
        <f>RADIANS(A44)</f>
        <v/>
      </c>
      <c r="C44">
        <f>ATAN2(SIN((1-$B$4)*B44),$B$5/($B$7*$B$4)-COS((1-$B$4)*B44))</f>
        <v/>
      </c>
      <c r="D44">
        <f>$B$5*COS(B44)-$B$6*COS(B44+C44)-$B$7*COS($B$4*B44)</f>
        <v/>
      </c>
      <c r="E44">
        <f>-$B$5*SIN(B44)+$B$6*SIN(B44+C44)+$B$7*SIN($B$4*B44)</f>
        <v/>
      </c>
      <c r="F44" t="inlineStr">
        <is>
          <t>Copy x(t), y(t) into SolidWorks Equation Driven Curve</t>
        </is>
      </c>
    </row>
    <row r="45">
      <c r="A45">
        <f>A44+1</f>
        <v/>
      </c>
      <c r="B45">
        <f>RADIANS(A45)</f>
        <v/>
      </c>
      <c r="C45">
        <f>ATAN2(SIN((1-$B$4)*B45),$B$5/($B$7*$B$4)-COS((1-$B$4)*B45))</f>
        <v/>
      </c>
      <c r="D45">
        <f>$B$5*COS(B45)-$B$6*COS(B45+C45)-$B$7*COS($B$4*B45)</f>
        <v/>
      </c>
      <c r="E45">
        <f>-$B$5*SIN(B45)+$B$6*SIN(B45+C45)+$B$7*SIN($B$4*B45)</f>
        <v/>
      </c>
      <c r="F45" t="inlineStr">
        <is>
          <t>Copy x(t), y(t) into SolidWorks Equation Driven Curve</t>
        </is>
      </c>
    </row>
    <row r="46">
      <c r="A46">
        <f>A45+1</f>
        <v/>
      </c>
      <c r="B46">
        <f>RADIANS(A46)</f>
        <v/>
      </c>
      <c r="C46">
        <f>ATAN2(SIN((1-$B$4)*B46),$B$5/($B$7*$B$4)-COS((1-$B$4)*B46))</f>
        <v/>
      </c>
      <c r="D46">
        <f>$B$5*COS(B46)-$B$6*COS(B46+C46)-$B$7*COS($B$4*B46)</f>
        <v/>
      </c>
      <c r="E46">
        <f>-$B$5*SIN(B46)+$B$6*SIN(B46+C46)+$B$7*SIN($B$4*B46)</f>
        <v/>
      </c>
      <c r="F46" t="inlineStr">
        <is>
          <t>Copy x(t), y(t) into SolidWorks Equation Driven Curve</t>
        </is>
      </c>
    </row>
    <row r="47">
      <c r="A47">
        <f>A46+1</f>
        <v/>
      </c>
      <c r="B47">
        <f>RADIANS(A47)</f>
        <v/>
      </c>
      <c r="C47">
        <f>ATAN2(SIN((1-$B$4)*B47),$B$5/($B$7*$B$4)-COS((1-$B$4)*B47))</f>
        <v/>
      </c>
      <c r="D47">
        <f>$B$5*COS(B47)-$B$6*COS(B47+C47)-$B$7*COS($B$4*B47)</f>
        <v/>
      </c>
      <c r="E47">
        <f>-$B$5*SIN(B47)+$B$6*SIN(B47+C47)+$B$7*SIN($B$4*B47)</f>
        <v/>
      </c>
      <c r="F47" t="inlineStr">
        <is>
          <t>Copy x(t), y(t) into SolidWorks Equation Driven Curve</t>
        </is>
      </c>
    </row>
    <row r="48">
      <c r="A48">
        <f>A47+1</f>
        <v/>
      </c>
      <c r="B48">
        <f>RADIANS(A48)</f>
        <v/>
      </c>
      <c r="C48">
        <f>ATAN2(SIN((1-$B$4)*B48),$B$5/($B$7*$B$4)-COS((1-$B$4)*B48))</f>
        <v/>
      </c>
      <c r="D48">
        <f>$B$5*COS(B48)-$B$6*COS(B48+C48)-$B$7*COS($B$4*B48)</f>
        <v/>
      </c>
      <c r="E48">
        <f>-$B$5*SIN(B48)+$B$6*SIN(B48+C48)+$B$7*SIN($B$4*B48)</f>
        <v/>
      </c>
      <c r="F48" t="inlineStr">
        <is>
          <t>Copy x(t), y(t) into SolidWorks Equation Driven Curve</t>
        </is>
      </c>
    </row>
    <row r="49">
      <c r="A49">
        <f>A48+1</f>
        <v/>
      </c>
      <c r="B49">
        <f>RADIANS(A49)</f>
        <v/>
      </c>
      <c r="C49">
        <f>ATAN2(SIN((1-$B$4)*B49),$B$5/($B$7*$B$4)-COS((1-$B$4)*B49))</f>
        <v/>
      </c>
      <c r="D49">
        <f>$B$5*COS(B49)-$B$6*COS(B49+C49)-$B$7*COS($B$4*B49)</f>
        <v/>
      </c>
      <c r="E49">
        <f>-$B$5*SIN(B49)+$B$6*SIN(B49+C49)+$B$7*SIN($B$4*B49)</f>
        <v/>
      </c>
      <c r="F49" t="inlineStr">
        <is>
          <t>Copy x(t), y(t) into SolidWorks Equation Driven Curve</t>
        </is>
      </c>
    </row>
    <row r="50">
      <c r="A50">
        <f>A49+1</f>
        <v/>
      </c>
      <c r="B50">
        <f>RADIANS(A50)</f>
        <v/>
      </c>
      <c r="C50">
        <f>ATAN2(SIN((1-$B$4)*B50),$B$5/($B$7*$B$4)-COS((1-$B$4)*B50))</f>
        <v/>
      </c>
      <c r="D50">
        <f>$B$5*COS(B50)-$B$6*COS(B50+C50)-$B$7*COS($B$4*B50)</f>
        <v/>
      </c>
      <c r="E50">
        <f>-$B$5*SIN(B50)+$B$6*SIN(B50+C50)+$B$7*SIN($B$4*B50)</f>
        <v/>
      </c>
      <c r="F50" t="inlineStr">
        <is>
          <t>Copy x(t), y(t) into SolidWorks Equation Driven Curve</t>
        </is>
      </c>
    </row>
    <row r="51">
      <c r="A51">
        <f>A50+1</f>
        <v/>
      </c>
      <c r="B51">
        <f>RADIANS(A51)</f>
        <v/>
      </c>
      <c r="C51">
        <f>ATAN2(SIN((1-$B$4)*B51),$B$5/($B$7*$B$4)-COS((1-$B$4)*B51))</f>
        <v/>
      </c>
      <c r="D51">
        <f>$B$5*COS(B51)-$B$6*COS(B51+C51)-$B$7*COS($B$4*B51)</f>
        <v/>
      </c>
      <c r="E51">
        <f>-$B$5*SIN(B51)+$B$6*SIN(B51+C51)+$B$7*SIN($B$4*B51)</f>
        <v/>
      </c>
      <c r="F51" t="inlineStr">
        <is>
          <t>Copy x(t), y(t) into SolidWorks Equation Driven Curve</t>
        </is>
      </c>
    </row>
    <row r="52">
      <c r="A52">
        <f>A51+1</f>
        <v/>
      </c>
      <c r="B52">
        <f>RADIANS(A52)</f>
        <v/>
      </c>
      <c r="C52">
        <f>ATAN2(SIN((1-$B$4)*B52),$B$5/($B$7*$B$4)-COS((1-$B$4)*B52))</f>
        <v/>
      </c>
      <c r="D52">
        <f>$B$5*COS(B52)-$B$6*COS(B52+C52)-$B$7*COS($B$4*B52)</f>
        <v/>
      </c>
      <c r="E52">
        <f>-$B$5*SIN(B52)+$B$6*SIN(B52+C52)+$B$7*SIN($B$4*B52)</f>
        <v/>
      </c>
      <c r="F52" t="inlineStr">
        <is>
          <t>Copy x(t), y(t) into SolidWorks Equation Driven Curve</t>
        </is>
      </c>
    </row>
    <row r="53">
      <c r="A53">
        <f>A52+1</f>
        <v/>
      </c>
      <c r="B53">
        <f>RADIANS(A53)</f>
        <v/>
      </c>
      <c r="C53">
        <f>ATAN2(SIN((1-$B$4)*B53),$B$5/($B$7*$B$4)-COS((1-$B$4)*B53))</f>
        <v/>
      </c>
      <c r="D53">
        <f>$B$5*COS(B53)-$B$6*COS(B53+C53)-$B$7*COS($B$4*B53)</f>
        <v/>
      </c>
      <c r="E53">
        <f>-$B$5*SIN(B53)+$B$6*SIN(B53+C53)+$B$7*SIN($B$4*B53)</f>
        <v/>
      </c>
      <c r="F53" t="inlineStr">
        <is>
          <t>Copy x(t), y(t) into SolidWorks Equation Driven Curve</t>
        </is>
      </c>
    </row>
    <row r="54">
      <c r="A54">
        <f>A53+1</f>
        <v/>
      </c>
      <c r="B54">
        <f>RADIANS(A54)</f>
        <v/>
      </c>
      <c r="C54">
        <f>ATAN2(SIN((1-$B$4)*B54),$B$5/($B$7*$B$4)-COS((1-$B$4)*B54))</f>
        <v/>
      </c>
      <c r="D54">
        <f>$B$5*COS(B54)-$B$6*COS(B54+C54)-$B$7*COS($B$4*B54)</f>
        <v/>
      </c>
      <c r="E54">
        <f>-$B$5*SIN(B54)+$B$6*SIN(B54+C54)+$B$7*SIN($B$4*B54)</f>
        <v/>
      </c>
      <c r="F54" t="inlineStr">
        <is>
          <t>Copy x(t), y(t) into SolidWorks Equation Driven Curve</t>
        </is>
      </c>
    </row>
    <row r="55">
      <c r="A55">
        <f>A54+1</f>
        <v/>
      </c>
      <c r="B55">
        <f>RADIANS(A55)</f>
        <v/>
      </c>
      <c r="C55">
        <f>ATAN2(SIN((1-$B$4)*B55),$B$5/($B$7*$B$4)-COS((1-$B$4)*B55))</f>
        <v/>
      </c>
      <c r="D55">
        <f>$B$5*COS(B55)-$B$6*COS(B55+C55)-$B$7*COS($B$4*B55)</f>
        <v/>
      </c>
      <c r="E55">
        <f>-$B$5*SIN(B55)+$B$6*SIN(B55+C55)+$B$7*SIN($B$4*B55)</f>
        <v/>
      </c>
      <c r="F55" t="inlineStr">
        <is>
          <t>Copy x(t), y(t) into SolidWorks Equation Driven Curve</t>
        </is>
      </c>
    </row>
    <row r="56">
      <c r="A56">
        <f>A55+1</f>
        <v/>
      </c>
      <c r="B56">
        <f>RADIANS(A56)</f>
        <v/>
      </c>
      <c r="C56">
        <f>ATAN2(SIN((1-$B$4)*B56),$B$5/($B$7*$B$4)-COS((1-$B$4)*B56))</f>
        <v/>
      </c>
      <c r="D56">
        <f>$B$5*COS(B56)-$B$6*COS(B56+C56)-$B$7*COS($B$4*B56)</f>
        <v/>
      </c>
      <c r="E56">
        <f>-$B$5*SIN(B56)+$B$6*SIN(B56+C56)+$B$7*SIN($B$4*B56)</f>
        <v/>
      </c>
      <c r="F56" t="inlineStr">
        <is>
          <t>Copy x(t), y(t) into SolidWorks Equation Driven Curve</t>
        </is>
      </c>
    </row>
    <row r="57">
      <c r="A57">
        <f>A56+1</f>
        <v/>
      </c>
      <c r="B57">
        <f>RADIANS(A57)</f>
        <v/>
      </c>
      <c r="C57">
        <f>ATAN2(SIN((1-$B$4)*B57),$B$5/($B$7*$B$4)-COS((1-$B$4)*B57))</f>
        <v/>
      </c>
      <c r="D57">
        <f>$B$5*COS(B57)-$B$6*COS(B57+C57)-$B$7*COS($B$4*B57)</f>
        <v/>
      </c>
      <c r="E57">
        <f>-$B$5*SIN(B57)+$B$6*SIN(B57+C57)+$B$7*SIN($B$4*B57)</f>
        <v/>
      </c>
      <c r="F57" t="inlineStr">
        <is>
          <t>Copy x(t), y(t) into SolidWorks Equation Driven Curve</t>
        </is>
      </c>
    </row>
    <row r="58">
      <c r="A58">
        <f>A57+1</f>
        <v/>
      </c>
      <c r="B58">
        <f>RADIANS(A58)</f>
        <v/>
      </c>
      <c r="C58">
        <f>ATAN2(SIN((1-$B$4)*B58),$B$5/($B$7*$B$4)-COS((1-$B$4)*B58))</f>
        <v/>
      </c>
      <c r="D58">
        <f>$B$5*COS(B58)-$B$6*COS(B58+C58)-$B$7*COS($B$4*B58)</f>
        <v/>
      </c>
      <c r="E58">
        <f>-$B$5*SIN(B58)+$B$6*SIN(B58+C58)+$B$7*SIN($B$4*B58)</f>
        <v/>
      </c>
      <c r="F58" t="inlineStr">
        <is>
          <t>Copy x(t), y(t) into SolidWorks Equation Driven Curve</t>
        </is>
      </c>
    </row>
    <row r="59">
      <c r="A59">
        <f>A58+1</f>
        <v/>
      </c>
      <c r="B59">
        <f>RADIANS(A59)</f>
        <v/>
      </c>
      <c r="C59">
        <f>ATAN2(SIN((1-$B$4)*B59),$B$5/($B$7*$B$4)-COS((1-$B$4)*B59))</f>
        <v/>
      </c>
      <c r="D59">
        <f>$B$5*COS(B59)-$B$6*COS(B59+C59)-$B$7*COS($B$4*B59)</f>
        <v/>
      </c>
      <c r="E59">
        <f>-$B$5*SIN(B59)+$B$6*SIN(B59+C59)+$B$7*SIN($B$4*B59)</f>
        <v/>
      </c>
      <c r="F59" t="inlineStr">
        <is>
          <t>Copy x(t), y(t) into SolidWorks Equation Driven Curve</t>
        </is>
      </c>
    </row>
    <row r="60">
      <c r="A60">
        <f>A59+1</f>
        <v/>
      </c>
      <c r="B60">
        <f>RADIANS(A60)</f>
        <v/>
      </c>
      <c r="C60">
        <f>ATAN2(SIN((1-$B$4)*B60),$B$5/($B$7*$B$4)-COS((1-$B$4)*B60))</f>
        <v/>
      </c>
      <c r="D60">
        <f>$B$5*COS(B60)-$B$6*COS(B60+C60)-$B$7*COS($B$4*B60)</f>
        <v/>
      </c>
      <c r="E60">
        <f>-$B$5*SIN(B60)+$B$6*SIN(B60+C60)+$B$7*SIN($B$4*B60)</f>
        <v/>
      </c>
      <c r="F60" t="inlineStr">
        <is>
          <t>Copy x(t), y(t) into SolidWorks Equation Driven Curve</t>
        </is>
      </c>
    </row>
    <row r="61">
      <c r="A61">
        <f>A60+1</f>
        <v/>
      </c>
      <c r="B61">
        <f>RADIANS(A61)</f>
        <v/>
      </c>
      <c r="C61">
        <f>ATAN2(SIN((1-$B$4)*B61),$B$5/($B$7*$B$4)-COS((1-$B$4)*B61))</f>
        <v/>
      </c>
      <c r="D61">
        <f>$B$5*COS(B61)-$B$6*COS(B61+C61)-$B$7*COS($B$4*B61)</f>
        <v/>
      </c>
      <c r="E61">
        <f>-$B$5*SIN(B61)+$B$6*SIN(B61+C61)+$B$7*SIN($B$4*B61)</f>
        <v/>
      </c>
      <c r="F61" t="inlineStr">
        <is>
          <t>Copy x(t), y(t) into SolidWorks Equation Driven Curve</t>
        </is>
      </c>
    </row>
    <row r="62">
      <c r="A62">
        <f>A61+1</f>
        <v/>
      </c>
      <c r="B62">
        <f>RADIANS(A62)</f>
        <v/>
      </c>
      <c r="C62">
        <f>ATAN2(SIN((1-$B$4)*B62),$B$5/($B$7*$B$4)-COS((1-$B$4)*B62))</f>
        <v/>
      </c>
      <c r="D62">
        <f>$B$5*COS(B62)-$B$6*COS(B62+C62)-$B$7*COS($B$4*B62)</f>
        <v/>
      </c>
      <c r="E62">
        <f>-$B$5*SIN(B62)+$B$6*SIN(B62+C62)+$B$7*SIN($B$4*B62)</f>
        <v/>
      </c>
      <c r="F62" t="inlineStr">
        <is>
          <t>Copy x(t), y(t) into SolidWorks Equation Driven Curve</t>
        </is>
      </c>
    </row>
    <row r="63">
      <c r="A63">
        <f>A62+1</f>
        <v/>
      </c>
      <c r="B63">
        <f>RADIANS(A63)</f>
        <v/>
      </c>
      <c r="C63">
        <f>ATAN2(SIN((1-$B$4)*B63),$B$5/($B$7*$B$4)-COS((1-$B$4)*B63))</f>
        <v/>
      </c>
      <c r="D63">
        <f>$B$5*COS(B63)-$B$6*COS(B63+C63)-$B$7*COS($B$4*B63)</f>
        <v/>
      </c>
      <c r="E63">
        <f>-$B$5*SIN(B63)+$B$6*SIN(B63+C63)+$B$7*SIN($B$4*B63)</f>
        <v/>
      </c>
      <c r="F63" t="inlineStr">
        <is>
          <t>Copy x(t), y(t) into SolidWorks Equation Driven Curve</t>
        </is>
      </c>
    </row>
    <row r="64">
      <c r="A64">
        <f>A63+1</f>
        <v/>
      </c>
      <c r="B64">
        <f>RADIANS(A64)</f>
        <v/>
      </c>
      <c r="C64">
        <f>ATAN2(SIN((1-$B$4)*B64),$B$5/($B$7*$B$4)-COS((1-$B$4)*B64))</f>
        <v/>
      </c>
      <c r="D64">
        <f>$B$5*COS(B64)-$B$6*COS(B64+C64)-$B$7*COS($B$4*B64)</f>
        <v/>
      </c>
      <c r="E64">
        <f>-$B$5*SIN(B64)+$B$6*SIN(B64+C64)+$B$7*SIN($B$4*B64)</f>
        <v/>
      </c>
      <c r="F64" t="inlineStr">
        <is>
          <t>Copy x(t), y(t) into SolidWorks Equation Driven Curve</t>
        </is>
      </c>
    </row>
    <row r="65">
      <c r="A65">
        <f>A64+1</f>
        <v/>
      </c>
      <c r="B65">
        <f>RADIANS(A65)</f>
        <v/>
      </c>
      <c r="C65">
        <f>ATAN2(SIN((1-$B$4)*B65),$B$5/($B$7*$B$4)-COS((1-$B$4)*B65))</f>
        <v/>
      </c>
      <c r="D65">
        <f>$B$5*COS(B65)-$B$6*COS(B65+C65)-$B$7*COS($B$4*B65)</f>
        <v/>
      </c>
      <c r="E65">
        <f>-$B$5*SIN(B65)+$B$6*SIN(B65+C65)+$B$7*SIN($B$4*B65)</f>
        <v/>
      </c>
      <c r="F65" t="inlineStr">
        <is>
          <t>Copy x(t), y(t) into SolidWorks Equation Driven Curve</t>
        </is>
      </c>
    </row>
    <row r="66">
      <c r="A66">
        <f>A65+1</f>
        <v/>
      </c>
      <c r="B66">
        <f>RADIANS(A66)</f>
        <v/>
      </c>
      <c r="C66">
        <f>ATAN2(SIN((1-$B$4)*B66),$B$5/($B$7*$B$4)-COS((1-$B$4)*B66))</f>
        <v/>
      </c>
      <c r="D66">
        <f>$B$5*COS(B66)-$B$6*COS(B66+C66)-$B$7*COS($B$4*B66)</f>
        <v/>
      </c>
      <c r="E66">
        <f>-$B$5*SIN(B66)+$B$6*SIN(B66+C66)+$B$7*SIN($B$4*B66)</f>
        <v/>
      </c>
      <c r="F66" t="inlineStr">
        <is>
          <t>Copy x(t), y(t) into SolidWorks Equation Driven Curve</t>
        </is>
      </c>
    </row>
    <row r="67">
      <c r="A67">
        <f>A66+1</f>
        <v/>
      </c>
      <c r="B67">
        <f>RADIANS(A67)</f>
        <v/>
      </c>
      <c r="C67">
        <f>ATAN2(SIN((1-$B$4)*B67),$B$5/($B$7*$B$4)-COS((1-$B$4)*B67))</f>
        <v/>
      </c>
      <c r="D67">
        <f>$B$5*COS(B67)-$B$6*COS(B67+C67)-$B$7*COS($B$4*B67)</f>
        <v/>
      </c>
      <c r="E67">
        <f>-$B$5*SIN(B67)+$B$6*SIN(B67+C67)+$B$7*SIN($B$4*B67)</f>
        <v/>
      </c>
      <c r="F67" t="inlineStr">
        <is>
          <t>Copy x(t), y(t) into SolidWorks Equation Driven Curve</t>
        </is>
      </c>
    </row>
    <row r="68">
      <c r="A68">
        <f>A67+1</f>
        <v/>
      </c>
      <c r="B68">
        <f>RADIANS(A68)</f>
        <v/>
      </c>
      <c r="C68">
        <f>ATAN2(SIN((1-$B$4)*B68),$B$5/($B$7*$B$4)-COS((1-$B$4)*B68))</f>
        <v/>
      </c>
      <c r="D68">
        <f>$B$5*COS(B68)-$B$6*COS(B68+C68)-$B$7*COS($B$4*B68)</f>
        <v/>
      </c>
      <c r="E68">
        <f>-$B$5*SIN(B68)+$B$6*SIN(B68+C68)+$B$7*SIN($B$4*B68)</f>
        <v/>
      </c>
      <c r="F68" t="inlineStr">
        <is>
          <t>Copy x(t), y(t) into SolidWorks Equation Driven Curve</t>
        </is>
      </c>
    </row>
    <row r="69">
      <c r="A69">
        <f>A68+1</f>
        <v/>
      </c>
      <c r="B69">
        <f>RADIANS(A69)</f>
        <v/>
      </c>
      <c r="C69">
        <f>ATAN2(SIN((1-$B$4)*B69),$B$5/($B$7*$B$4)-COS((1-$B$4)*B69))</f>
        <v/>
      </c>
      <c r="D69">
        <f>$B$5*COS(B69)-$B$6*COS(B69+C69)-$B$7*COS($B$4*B69)</f>
        <v/>
      </c>
      <c r="E69">
        <f>-$B$5*SIN(B69)+$B$6*SIN(B69+C69)+$B$7*SIN($B$4*B69)</f>
        <v/>
      </c>
      <c r="F69" t="inlineStr">
        <is>
          <t>Copy x(t), y(t) into SolidWorks Equation Driven Curve</t>
        </is>
      </c>
    </row>
    <row r="70">
      <c r="A70">
        <f>A69+1</f>
        <v/>
      </c>
      <c r="B70">
        <f>RADIANS(A70)</f>
        <v/>
      </c>
      <c r="C70">
        <f>ATAN2(SIN((1-$B$4)*B70),$B$5/($B$7*$B$4)-COS((1-$B$4)*B70))</f>
        <v/>
      </c>
      <c r="D70">
        <f>$B$5*COS(B70)-$B$6*COS(B70+C70)-$B$7*COS($B$4*B70)</f>
        <v/>
      </c>
      <c r="E70">
        <f>-$B$5*SIN(B70)+$B$6*SIN(B70+C70)+$B$7*SIN($B$4*B70)</f>
        <v/>
      </c>
      <c r="F70" t="inlineStr">
        <is>
          <t>Copy x(t), y(t) into SolidWorks Equation Driven Curve</t>
        </is>
      </c>
    </row>
    <row r="71">
      <c r="A71">
        <f>A70+1</f>
        <v/>
      </c>
      <c r="B71">
        <f>RADIANS(A71)</f>
        <v/>
      </c>
      <c r="C71">
        <f>ATAN2(SIN((1-$B$4)*B71),$B$5/($B$7*$B$4)-COS((1-$B$4)*B71))</f>
        <v/>
      </c>
      <c r="D71">
        <f>$B$5*COS(B71)-$B$6*COS(B71+C71)-$B$7*COS($B$4*B71)</f>
        <v/>
      </c>
      <c r="E71">
        <f>-$B$5*SIN(B71)+$B$6*SIN(B71+C71)+$B$7*SIN($B$4*B71)</f>
        <v/>
      </c>
      <c r="F71" t="inlineStr">
        <is>
          <t>Copy x(t), y(t) into SolidWorks Equation Driven Curve</t>
        </is>
      </c>
    </row>
    <row r="72">
      <c r="A72">
        <f>A71+1</f>
        <v/>
      </c>
      <c r="B72">
        <f>RADIANS(A72)</f>
        <v/>
      </c>
      <c r="C72">
        <f>ATAN2(SIN((1-$B$4)*B72),$B$5/($B$7*$B$4)-COS((1-$B$4)*B72))</f>
        <v/>
      </c>
      <c r="D72">
        <f>$B$5*COS(B72)-$B$6*COS(B72+C72)-$B$7*COS($B$4*B72)</f>
        <v/>
      </c>
      <c r="E72">
        <f>-$B$5*SIN(B72)+$B$6*SIN(B72+C72)+$B$7*SIN($B$4*B72)</f>
        <v/>
      </c>
      <c r="F72" t="inlineStr">
        <is>
          <t>Copy x(t), y(t) into SolidWorks Equation Driven Curve</t>
        </is>
      </c>
    </row>
    <row r="73">
      <c r="A73">
        <f>A72+1</f>
        <v/>
      </c>
      <c r="B73">
        <f>RADIANS(A73)</f>
        <v/>
      </c>
      <c r="C73">
        <f>ATAN2(SIN((1-$B$4)*B73),$B$5/($B$7*$B$4)-COS((1-$B$4)*B73))</f>
        <v/>
      </c>
      <c r="D73">
        <f>$B$5*COS(B73)-$B$6*COS(B73+C73)-$B$7*COS($B$4*B73)</f>
        <v/>
      </c>
      <c r="E73">
        <f>-$B$5*SIN(B73)+$B$6*SIN(B73+C73)+$B$7*SIN($B$4*B73)</f>
        <v/>
      </c>
      <c r="F73" t="inlineStr">
        <is>
          <t>Copy x(t), y(t) into SolidWorks Equation Driven Curve</t>
        </is>
      </c>
    </row>
    <row r="74">
      <c r="A74">
        <f>A73+1</f>
        <v/>
      </c>
      <c r="B74">
        <f>RADIANS(A74)</f>
        <v/>
      </c>
      <c r="C74">
        <f>ATAN2(SIN((1-$B$4)*B74),$B$5/($B$7*$B$4)-COS((1-$B$4)*B74))</f>
        <v/>
      </c>
      <c r="D74">
        <f>$B$5*COS(B74)-$B$6*COS(B74+C74)-$B$7*COS($B$4*B74)</f>
        <v/>
      </c>
      <c r="E74">
        <f>-$B$5*SIN(B74)+$B$6*SIN(B74+C74)+$B$7*SIN($B$4*B74)</f>
        <v/>
      </c>
      <c r="F74" t="inlineStr">
        <is>
          <t>Copy x(t), y(t) into SolidWorks Equation Driven Curve</t>
        </is>
      </c>
    </row>
    <row r="75">
      <c r="A75">
        <f>A74+1</f>
        <v/>
      </c>
      <c r="B75">
        <f>RADIANS(A75)</f>
        <v/>
      </c>
      <c r="C75">
        <f>ATAN2(SIN((1-$B$4)*B75),$B$5/($B$7*$B$4)-COS((1-$B$4)*B75))</f>
        <v/>
      </c>
      <c r="D75">
        <f>$B$5*COS(B75)-$B$6*COS(B75+C75)-$B$7*COS($B$4*B75)</f>
        <v/>
      </c>
      <c r="E75">
        <f>-$B$5*SIN(B75)+$B$6*SIN(B75+C75)+$B$7*SIN($B$4*B75)</f>
        <v/>
      </c>
      <c r="F75" t="inlineStr">
        <is>
          <t>Copy x(t), y(t) into SolidWorks Equation Driven Curve</t>
        </is>
      </c>
    </row>
    <row r="76">
      <c r="A76">
        <f>A75+1</f>
        <v/>
      </c>
      <c r="B76">
        <f>RADIANS(A76)</f>
        <v/>
      </c>
      <c r="C76">
        <f>ATAN2(SIN((1-$B$4)*B76),$B$5/($B$7*$B$4)-COS((1-$B$4)*B76))</f>
        <v/>
      </c>
      <c r="D76">
        <f>$B$5*COS(B76)-$B$6*COS(B76+C76)-$B$7*COS($B$4*B76)</f>
        <v/>
      </c>
      <c r="E76">
        <f>-$B$5*SIN(B76)+$B$6*SIN(B76+C76)+$B$7*SIN($B$4*B76)</f>
        <v/>
      </c>
      <c r="F76" t="inlineStr">
        <is>
          <t>Copy x(t), y(t) into SolidWorks Equation Driven Curve</t>
        </is>
      </c>
    </row>
    <row r="77">
      <c r="A77">
        <f>A76+1</f>
        <v/>
      </c>
      <c r="B77">
        <f>RADIANS(A77)</f>
        <v/>
      </c>
      <c r="C77">
        <f>ATAN2(SIN((1-$B$4)*B77),$B$5/($B$7*$B$4)-COS((1-$B$4)*B77))</f>
        <v/>
      </c>
      <c r="D77">
        <f>$B$5*COS(B77)-$B$6*COS(B77+C77)-$B$7*COS($B$4*B77)</f>
        <v/>
      </c>
      <c r="E77">
        <f>-$B$5*SIN(B77)+$B$6*SIN(B77+C77)+$B$7*SIN($B$4*B77)</f>
        <v/>
      </c>
      <c r="F77" t="inlineStr">
        <is>
          <t>Copy x(t), y(t) into SolidWorks Equation Driven Curve</t>
        </is>
      </c>
    </row>
    <row r="78">
      <c r="A78">
        <f>A77+1</f>
        <v/>
      </c>
      <c r="B78">
        <f>RADIANS(A78)</f>
        <v/>
      </c>
      <c r="C78">
        <f>ATAN2(SIN((1-$B$4)*B78),$B$5/($B$7*$B$4)-COS((1-$B$4)*B78))</f>
        <v/>
      </c>
      <c r="D78">
        <f>$B$5*COS(B78)-$B$6*COS(B78+C78)-$B$7*COS($B$4*B78)</f>
        <v/>
      </c>
      <c r="E78">
        <f>-$B$5*SIN(B78)+$B$6*SIN(B78+C78)+$B$7*SIN($B$4*B78)</f>
        <v/>
      </c>
      <c r="F78" t="inlineStr">
        <is>
          <t>Copy x(t), y(t) into SolidWorks Equation Driven Curve</t>
        </is>
      </c>
    </row>
    <row r="79">
      <c r="A79">
        <f>A78+1</f>
        <v/>
      </c>
      <c r="B79">
        <f>RADIANS(A79)</f>
        <v/>
      </c>
      <c r="C79">
        <f>ATAN2(SIN((1-$B$4)*B79),$B$5/($B$7*$B$4)-COS((1-$B$4)*B79))</f>
        <v/>
      </c>
      <c r="D79">
        <f>$B$5*COS(B79)-$B$6*COS(B79+C79)-$B$7*COS($B$4*B79)</f>
        <v/>
      </c>
      <c r="E79">
        <f>-$B$5*SIN(B79)+$B$6*SIN(B79+C79)+$B$7*SIN($B$4*B79)</f>
        <v/>
      </c>
      <c r="F79" t="inlineStr">
        <is>
          <t>Copy x(t), y(t) into SolidWorks Equation Driven Curve</t>
        </is>
      </c>
    </row>
    <row r="80">
      <c r="A80">
        <f>A79+1</f>
        <v/>
      </c>
      <c r="B80">
        <f>RADIANS(A80)</f>
        <v/>
      </c>
      <c r="C80">
        <f>ATAN2(SIN((1-$B$4)*B80),$B$5/($B$7*$B$4)-COS((1-$B$4)*B80))</f>
        <v/>
      </c>
      <c r="D80">
        <f>$B$5*COS(B80)-$B$6*COS(B80+C80)-$B$7*COS($B$4*B80)</f>
        <v/>
      </c>
      <c r="E80">
        <f>-$B$5*SIN(B80)+$B$6*SIN(B80+C80)+$B$7*SIN($B$4*B80)</f>
        <v/>
      </c>
      <c r="F80" t="inlineStr">
        <is>
          <t>Copy x(t), y(t) into SolidWorks Equation Driven Curve</t>
        </is>
      </c>
    </row>
    <row r="81">
      <c r="A81">
        <f>A80+1</f>
        <v/>
      </c>
      <c r="B81">
        <f>RADIANS(A81)</f>
        <v/>
      </c>
      <c r="C81">
        <f>ATAN2(SIN((1-$B$4)*B81),$B$5/($B$7*$B$4)-COS((1-$B$4)*B81))</f>
        <v/>
      </c>
      <c r="D81">
        <f>$B$5*COS(B81)-$B$6*COS(B81+C81)-$B$7*COS($B$4*B81)</f>
        <v/>
      </c>
      <c r="E81">
        <f>-$B$5*SIN(B81)+$B$6*SIN(B81+C81)+$B$7*SIN($B$4*B81)</f>
        <v/>
      </c>
      <c r="F81" t="inlineStr">
        <is>
          <t>Copy x(t), y(t) into SolidWorks Equation Driven Curve</t>
        </is>
      </c>
    </row>
    <row r="82">
      <c r="A82">
        <f>A81+1</f>
        <v/>
      </c>
      <c r="B82">
        <f>RADIANS(A82)</f>
        <v/>
      </c>
      <c r="C82">
        <f>ATAN2(SIN((1-$B$4)*B82),$B$5/($B$7*$B$4)-COS((1-$B$4)*B82))</f>
        <v/>
      </c>
      <c r="D82">
        <f>$B$5*COS(B82)-$B$6*COS(B82+C82)-$B$7*COS($B$4*B82)</f>
        <v/>
      </c>
      <c r="E82">
        <f>-$B$5*SIN(B82)+$B$6*SIN(B82+C82)+$B$7*SIN($B$4*B82)</f>
        <v/>
      </c>
      <c r="F82" t="inlineStr">
        <is>
          <t>Copy x(t), y(t) into SolidWorks Equation Driven Curve</t>
        </is>
      </c>
    </row>
    <row r="83">
      <c r="A83">
        <f>A82+1</f>
        <v/>
      </c>
      <c r="B83">
        <f>RADIANS(A83)</f>
        <v/>
      </c>
      <c r="C83">
        <f>ATAN2(SIN((1-$B$4)*B83),$B$5/($B$7*$B$4)-COS((1-$B$4)*B83))</f>
        <v/>
      </c>
      <c r="D83">
        <f>$B$5*COS(B83)-$B$6*COS(B83+C83)-$B$7*COS($B$4*B83)</f>
        <v/>
      </c>
      <c r="E83">
        <f>-$B$5*SIN(B83)+$B$6*SIN(B83+C83)+$B$7*SIN($B$4*B83)</f>
        <v/>
      </c>
      <c r="F83" t="inlineStr">
        <is>
          <t>Copy x(t), y(t) into SolidWorks Equation Driven Curve</t>
        </is>
      </c>
    </row>
    <row r="84">
      <c r="A84">
        <f>A83+1</f>
        <v/>
      </c>
      <c r="B84">
        <f>RADIANS(A84)</f>
        <v/>
      </c>
      <c r="C84">
        <f>ATAN2(SIN((1-$B$4)*B84),$B$5/($B$7*$B$4)-COS((1-$B$4)*B84))</f>
        <v/>
      </c>
      <c r="D84">
        <f>$B$5*COS(B84)-$B$6*COS(B84+C84)-$B$7*COS($B$4*B84)</f>
        <v/>
      </c>
      <c r="E84">
        <f>-$B$5*SIN(B84)+$B$6*SIN(B84+C84)+$B$7*SIN($B$4*B84)</f>
        <v/>
      </c>
      <c r="F84" t="inlineStr">
        <is>
          <t>Copy x(t), y(t) into SolidWorks Equation Driven Curve</t>
        </is>
      </c>
    </row>
    <row r="85">
      <c r="A85">
        <f>A84+1</f>
        <v/>
      </c>
      <c r="B85">
        <f>RADIANS(A85)</f>
        <v/>
      </c>
      <c r="C85">
        <f>ATAN2(SIN((1-$B$4)*B85),$B$5/($B$7*$B$4)-COS((1-$B$4)*B85))</f>
        <v/>
      </c>
      <c r="D85">
        <f>$B$5*COS(B85)-$B$6*COS(B85+C85)-$B$7*COS($B$4*B85)</f>
        <v/>
      </c>
      <c r="E85">
        <f>-$B$5*SIN(B85)+$B$6*SIN(B85+C85)+$B$7*SIN($B$4*B85)</f>
        <v/>
      </c>
      <c r="F85" t="inlineStr">
        <is>
          <t>Copy x(t), y(t) into SolidWorks Equation Driven Curve</t>
        </is>
      </c>
    </row>
    <row r="86">
      <c r="A86">
        <f>A85+1</f>
        <v/>
      </c>
      <c r="B86">
        <f>RADIANS(A86)</f>
        <v/>
      </c>
      <c r="C86">
        <f>ATAN2(SIN((1-$B$4)*B86),$B$5/($B$7*$B$4)-COS((1-$B$4)*B86))</f>
        <v/>
      </c>
      <c r="D86">
        <f>$B$5*COS(B86)-$B$6*COS(B86+C86)-$B$7*COS($B$4*B86)</f>
        <v/>
      </c>
      <c r="E86">
        <f>-$B$5*SIN(B86)+$B$6*SIN(B86+C86)+$B$7*SIN($B$4*B86)</f>
        <v/>
      </c>
      <c r="F86" t="inlineStr">
        <is>
          <t>Copy x(t), y(t) into SolidWorks Equation Driven Curve</t>
        </is>
      </c>
    </row>
    <row r="87">
      <c r="A87">
        <f>A86+1</f>
        <v/>
      </c>
      <c r="B87">
        <f>RADIANS(A87)</f>
        <v/>
      </c>
      <c r="C87">
        <f>ATAN2(SIN((1-$B$4)*B87),$B$5/($B$7*$B$4)-COS((1-$B$4)*B87))</f>
        <v/>
      </c>
      <c r="D87">
        <f>$B$5*COS(B87)-$B$6*COS(B87+C87)-$B$7*COS($B$4*B87)</f>
        <v/>
      </c>
      <c r="E87">
        <f>-$B$5*SIN(B87)+$B$6*SIN(B87+C87)+$B$7*SIN($B$4*B87)</f>
        <v/>
      </c>
      <c r="F87" t="inlineStr">
        <is>
          <t>Copy x(t), y(t) into SolidWorks Equation Driven Curve</t>
        </is>
      </c>
    </row>
    <row r="88">
      <c r="A88">
        <f>A87+1</f>
        <v/>
      </c>
      <c r="B88">
        <f>RADIANS(A88)</f>
        <v/>
      </c>
      <c r="C88">
        <f>ATAN2(SIN((1-$B$4)*B88),$B$5/($B$7*$B$4)-COS((1-$B$4)*B88))</f>
        <v/>
      </c>
      <c r="D88">
        <f>$B$5*COS(B88)-$B$6*COS(B88+C88)-$B$7*COS($B$4*B88)</f>
        <v/>
      </c>
      <c r="E88">
        <f>-$B$5*SIN(B88)+$B$6*SIN(B88+C88)+$B$7*SIN($B$4*B88)</f>
        <v/>
      </c>
      <c r="F88" t="inlineStr">
        <is>
          <t>Copy x(t), y(t) into SolidWorks Equation Driven Curve</t>
        </is>
      </c>
    </row>
    <row r="89">
      <c r="A89">
        <f>A88+1</f>
        <v/>
      </c>
      <c r="B89">
        <f>RADIANS(A89)</f>
        <v/>
      </c>
      <c r="C89">
        <f>ATAN2(SIN((1-$B$4)*B89),$B$5/($B$7*$B$4)-COS((1-$B$4)*B89))</f>
        <v/>
      </c>
      <c r="D89">
        <f>$B$5*COS(B89)-$B$6*COS(B89+C89)-$B$7*COS($B$4*B89)</f>
        <v/>
      </c>
      <c r="E89">
        <f>-$B$5*SIN(B89)+$B$6*SIN(B89+C89)+$B$7*SIN($B$4*B89)</f>
        <v/>
      </c>
      <c r="F89" t="inlineStr">
        <is>
          <t>Copy x(t), y(t) into SolidWorks Equation Driven Curve</t>
        </is>
      </c>
    </row>
    <row r="90">
      <c r="A90">
        <f>A89+1</f>
        <v/>
      </c>
      <c r="B90">
        <f>RADIANS(A90)</f>
        <v/>
      </c>
      <c r="C90">
        <f>ATAN2(SIN((1-$B$4)*B90),$B$5/($B$7*$B$4)-COS((1-$B$4)*B90))</f>
        <v/>
      </c>
      <c r="D90">
        <f>$B$5*COS(B90)-$B$6*COS(B90+C90)-$B$7*COS($B$4*B90)</f>
        <v/>
      </c>
      <c r="E90">
        <f>-$B$5*SIN(B90)+$B$6*SIN(B90+C90)+$B$7*SIN($B$4*B90)</f>
        <v/>
      </c>
      <c r="F90" t="inlineStr">
        <is>
          <t>Copy x(t), y(t) into SolidWorks Equation Driven Curve</t>
        </is>
      </c>
    </row>
    <row r="91">
      <c r="A91">
        <f>A90+1</f>
        <v/>
      </c>
      <c r="B91">
        <f>RADIANS(A91)</f>
        <v/>
      </c>
      <c r="C91">
        <f>ATAN2(SIN((1-$B$4)*B91),$B$5/($B$7*$B$4)-COS((1-$B$4)*B91))</f>
        <v/>
      </c>
      <c r="D91">
        <f>$B$5*COS(B91)-$B$6*COS(B91+C91)-$B$7*COS($B$4*B91)</f>
        <v/>
      </c>
      <c r="E91">
        <f>-$B$5*SIN(B91)+$B$6*SIN(B91+C91)+$B$7*SIN($B$4*B91)</f>
        <v/>
      </c>
      <c r="F91" t="inlineStr">
        <is>
          <t>Copy x(t), y(t) into SolidWorks Equation Driven Curve</t>
        </is>
      </c>
    </row>
    <row r="92">
      <c r="A92">
        <f>A91+1</f>
        <v/>
      </c>
      <c r="B92">
        <f>RADIANS(A92)</f>
        <v/>
      </c>
      <c r="C92">
        <f>ATAN2(SIN((1-$B$4)*B92),$B$5/($B$7*$B$4)-COS((1-$B$4)*B92))</f>
        <v/>
      </c>
      <c r="D92">
        <f>$B$5*COS(B92)-$B$6*COS(B92+C92)-$B$7*COS($B$4*B92)</f>
        <v/>
      </c>
      <c r="E92">
        <f>-$B$5*SIN(B92)+$B$6*SIN(B92+C92)+$B$7*SIN($B$4*B92)</f>
        <v/>
      </c>
      <c r="F92" t="inlineStr">
        <is>
          <t>Copy x(t), y(t) into SolidWorks Equation Driven Curve</t>
        </is>
      </c>
    </row>
    <row r="93">
      <c r="A93">
        <f>A92+1</f>
        <v/>
      </c>
      <c r="B93">
        <f>RADIANS(A93)</f>
        <v/>
      </c>
      <c r="C93">
        <f>ATAN2(SIN((1-$B$4)*B93),$B$5/($B$7*$B$4)-COS((1-$B$4)*B93))</f>
        <v/>
      </c>
      <c r="D93">
        <f>$B$5*COS(B93)-$B$6*COS(B93+C93)-$B$7*COS($B$4*B93)</f>
        <v/>
      </c>
      <c r="E93">
        <f>-$B$5*SIN(B93)+$B$6*SIN(B93+C93)+$B$7*SIN($B$4*B93)</f>
        <v/>
      </c>
      <c r="F93" t="inlineStr">
        <is>
          <t>Copy x(t), y(t) into SolidWorks Equation Driven Curve</t>
        </is>
      </c>
    </row>
    <row r="94">
      <c r="A94">
        <f>A93+1</f>
        <v/>
      </c>
      <c r="B94">
        <f>RADIANS(A94)</f>
        <v/>
      </c>
      <c r="C94">
        <f>ATAN2(SIN((1-$B$4)*B94),$B$5/($B$7*$B$4)-COS((1-$B$4)*B94))</f>
        <v/>
      </c>
      <c r="D94">
        <f>$B$5*COS(B94)-$B$6*COS(B94+C94)-$B$7*COS($B$4*B94)</f>
        <v/>
      </c>
      <c r="E94">
        <f>-$B$5*SIN(B94)+$B$6*SIN(B94+C94)+$B$7*SIN($B$4*B94)</f>
        <v/>
      </c>
      <c r="F94" t="inlineStr">
        <is>
          <t>Copy x(t), y(t) into SolidWorks Equation Driven Curve</t>
        </is>
      </c>
    </row>
    <row r="95">
      <c r="A95">
        <f>A94+1</f>
        <v/>
      </c>
      <c r="B95">
        <f>RADIANS(A95)</f>
        <v/>
      </c>
      <c r="C95">
        <f>ATAN2(SIN((1-$B$4)*B95),$B$5/($B$7*$B$4)-COS((1-$B$4)*B95))</f>
        <v/>
      </c>
      <c r="D95">
        <f>$B$5*COS(B95)-$B$6*COS(B95+C95)-$B$7*COS($B$4*B95)</f>
        <v/>
      </c>
      <c r="E95">
        <f>-$B$5*SIN(B95)+$B$6*SIN(B95+C95)+$B$7*SIN($B$4*B95)</f>
        <v/>
      </c>
      <c r="F95" t="inlineStr">
        <is>
          <t>Copy x(t), y(t) into SolidWorks Equation Driven Curve</t>
        </is>
      </c>
    </row>
    <row r="96">
      <c r="A96">
        <f>A95+1</f>
        <v/>
      </c>
      <c r="B96">
        <f>RADIANS(A96)</f>
        <v/>
      </c>
      <c r="C96">
        <f>ATAN2(SIN((1-$B$4)*B96),$B$5/($B$7*$B$4)-COS((1-$B$4)*B96))</f>
        <v/>
      </c>
      <c r="D96">
        <f>$B$5*COS(B96)-$B$6*COS(B96+C96)-$B$7*COS($B$4*B96)</f>
        <v/>
      </c>
      <c r="E96">
        <f>-$B$5*SIN(B96)+$B$6*SIN(B96+C96)+$B$7*SIN($B$4*B96)</f>
        <v/>
      </c>
      <c r="F96" t="inlineStr">
        <is>
          <t>Copy x(t), y(t) into SolidWorks Equation Driven Curve</t>
        </is>
      </c>
    </row>
    <row r="97">
      <c r="A97">
        <f>A96+1</f>
        <v/>
      </c>
      <c r="B97">
        <f>RADIANS(A97)</f>
        <v/>
      </c>
      <c r="C97">
        <f>ATAN2(SIN((1-$B$4)*B97),$B$5/($B$7*$B$4)-COS((1-$B$4)*B97))</f>
        <v/>
      </c>
      <c r="D97">
        <f>$B$5*COS(B97)-$B$6*COS(B97+C97)-$B$7*COS($B$4*B97)</f>
        <v/>
      </c>
      <c r="E97">
        <f>-$B$5*SIN(B97)+$B$6*SIN(B97+C97)+$B$7*SIN($B$4*B97)</f>
        <v/>
      </c>
      <c r="F97" t="inlineStr">
        <is>
          <t>Copy x(t), y(t) into SolidWorks Equation Driven Curve</t>
        </is>
      </c>
    </row>
    <row r="98">
      <c r="A98">
        <f>A97+1</f>
        <v/>
      </c>
      <c r="B98">
        <f>RADIANS(A98)</f>
        <v/>
      </c>
      <c r="C98">
        <f>ATAN2(SIN((1-$B$4)*B98),$B$5/($B$7*$B$4)-COS((1-$B$4)*B98))</f>
        <v/>
      </c>
      <c r="D98">
        <f>$B$5*COS(B98)-$B$6*COS(B98+C98)-$B$7*COS($B$4*B98)</f>
        <v/>
      </c>
      <c r="E98">
        <f>-$B$5*SIN(B98)+$B$6*SIN(B98+C98)+$B$7*SIN($B$4*B98)</f>
        <v/>
      </c>
      <c r="F98" t="inlineStr">
        <is>
          <t>Copy x(t), y(t) into SolidWorks Equation Driven Curve</t>
        </is>
      </c>
    </row>
    <row r="99">
      <c r="A99">
        <f>A98+1</f>
        <v/>
      </c>
      <c r="B99">
        <f>RADIANS(A99)</f>
        <v/>
      </c>
      <c r="C99">
        <f>ATAN2(SIN((1-$B$4)*B99),$B$5/($B$7*$B$4)-COS((1-$B$4)*B99))</f>
        <v/>
      </c>
      <c r="D99">
        <f>$B$5*COS(B99)-$B$6*COS(B99+C99)-$B$7*COS($B$4*B99)</f>
        <v/>
      </c>
      <c r="E99">
        <f>-$B$5*SIN(B99)+$B$6*SIN(B99+C99)+$B$7*SIN($B$4*B99)</f>
        <v/>
      </c>
      <c r="F99" t="inlineStr">
        <is>
          <t>Copy x(t), y(t) into SolidWorks Equation Driven Curve</t>
        </is>
      </c>
    </row>
    <row r="100">
      <c r="A100">
        <f>A99+1</f>
        <v/>
      </c>
      <c r="B100">
        <f>RADIANS(A100)</f>
        <v/>
      </c>
      <c r="C100">
        <f>ATAN2(SIN((1-$B$4)*B100),$B$5/($B$7*$B$4)-COS((1-$B$4)*B100))</f>
        <v/>
      </c>
      <c r="D100">
        <f>$B$5*COS(B100)-$B$6*COS(B100+C100)-$B$7*COS($B$4*B100)</f>
        <v/>
      </c>
      <c r="E100">
        <f>-$B$5*SIN(B100)+$B$6*SIN(B100+C100)+$B$7*SIN($B$4*B100)</f>
        <v/>
      </c>
      <c r="F100" t="inlineStr">
        <is>
          <t>Copy x(t), y(t) into SolidWorks Equation Driven Curve</t>
        </is>
      </c>
    </row>
    <row r="101">
      <c r="A101">
        <f>A100+1</f>
        <v/>
      </c>
      <c r="B101">
        <f>RADIANS(A101)</f>
        <v/>
      </c>
      <c r="C101">
        <f>ATAN2(SIN((1-$B$4)*B101),$B$5/($B$7*$B$4)-COS((1-$B$4)*B101))</f>
        <v/>
      </c>
      <c r="D101">
        <f>$B$5*COS(B101)-$B$6*COS(B101+C101)-$B$7*COS($B$4*B101)</f>
        <v/>
      </c>
      <c r="E101">
        <f>-$B$5*SIN(B101)+$B$6*SIN(B101+C101)+$B$7*SIN($B$4*B101)</f>
        <v/>
      </c>
      <c r="F101" t="inlineStr">
        <is>
          <t>Copy x(t), y(t) into SolidWorks Equation Driven Curve</t>
        </is>
      </c>
    </row>
    <row r="102">
      <c r="A102">
        <f>A101+1</f>
        <v/>
      </c>
      <c r="B102">
        <f>RADIANS(A102)</f>
        <v/>
      </c>
      <c r="C102">
        <f>ATAN2(SIN((1-$B$4)*B102),$B$5/($B$7*$B$4)-COS((1-$B$4)*B102))</f>
        <v/>
      </c>
      <c r="D102">
        <f>$B$5*COS(B102)-$B$6*COS(B102+C102)-$B$7*COS($B$4*B102)</f>
        <v/>
      </c>
      <c r="E102">
        <f>-$B$5*SIN(B102)+$B$6*SIN(B102+C102)+$B$7*SIN($B$4*B102)</f>
        <v/>
      </c>
      <c r="F102" t="inlineStr">
        <is>
          <t>Copy x(t), y(t) into SolidWorks Equation Driven Curve</t>
        </is>
      </c>
    </row>
    <row r="103">
      <c r="A103">
        <f>A102+1</f>
        <v/>
      </c>
      <c r="B103">
        <f>RADIANS(A103)</f>
        <v/>
      </c>
      <c r="C103">
        <f>ATAN2(SIN((1-$B$4)*B103),$B$5/($B$7*$B$4)-COS((1-$B$4)*B103))</f>
        <v/>
      </c>
      <c r="D103">
        <f>$B$5*COS(B103)-$B$6*COS(B103+C103)-$B$7*COS($B$4*B103)</f>
        <v/>
      </c>
      <c r="E103">
        <f>-$B$5*SIN(B103)+$B$6*SIN(B103+C103)+$B$7*SIN($B$4*B103)</f>
        <v/>
      </c>
      <c r="F103" t="inlineStr">
        <is>
          <t>Copy x(t), y(t) into SolidWorks Equation Driven Curve</t>
        </is>
      </c>
    </row>
    <row r="104">
      <c r="A104">
        <f>A103+1</f>
        <v/>
      </c>
      <c r="B104">
        <f>RADIANS(A104)</f>
        <v/>
      </c>
      <c r="C104">
        <f>ATAN2(SIN((1-$B$4)*B104),$B$5/($B$7*$B$4)-COS((1-$B$4)*B104))</f>
        <v/>
      </c>
      <c r="D104">
        <f>$B$5*COS(B104)-$B$6*COS(B104+C104)-$B$7*COS($B$4*B104)</f>
        <v/>
      </c>
      <c r="E104">
        <f>-$B$5*SIN(B104)+$B$6*SIN(B104+C104)+$B$7*SIN($B$4*B104)</f>
        <v/>
      </c>
      <c r="F104" t="inlineStr">
        <is>
          <t>Copy x(t), y(t) into SolidWorks Equation Driven Curve</t>
        </is>
      </c>
    </row>
    <row r="105">
      <c r="A105">
        <f>A104+1</f>
        <v/>
      </c>
      <c r="B105">
        <f>RADIANS(A105)</f>
        <v/>
      </c>
      <c r="C105">
        <f>ATAN2(SIN((1-$B$4)*B105),$B$5/($B$7*$B$4)-COS((1-$B$4)*B105))</f>
        <v/>
      </c>
      <c r="D105">
        <f>$B$5*COS(B105)-$B$6*COS(B105+C105)-$B$7*COS($B$4*B105)</f>
        <v/>
      </c>
      <c r="E105">
        <f>-$B$5*SIN(B105)+$B$6*SIN(B105+C105)+$B$7*SIN($B$4*B105)</f>
        <v/>
      </c>
      <c r="F105" t="inlineStr">
        <is>
          <t>Copy x(t), y(t) into SolidWorks Equation Driven Curve</t>
        </is>
      </c>
    </row>
    <row r="106">
      <c r="A106">
        <f>A105+1</f>
        <v/>
      </c>
      <c r="B106">
        <f>RADIANS(A106)</f>
        <v/>
      </c>
      <c r="C106">
        <f>ATAN2(SIN((1-$B$4)*B106),$B$5/($B$7*$B$4)-COS((1-$B$4)*B106))</f>
        <v/>
      </c>
      <c r="D106">
        <f>$B$5*COS(B106)-$B$6*COS(B106+C106)-$B$7*COS($B$4*B106)</f>
        <v/>
      </c>
      <c r="E106">
        <f>-$B$5*SIN(B106)+$B$6*SIN(B106+C106)+$B$7*SIN($B$4*B106)</f>
        <v/>
      </c>
      <c r="F106" t="inlineStr">
        <is>
          <t>Copy x(t), y(t) into SolidWorks Equation Driven Curve</t>
        </is>
      </c>
    </row>
    <row r="107">
      <c r="A107">
        <f>A106+1</f>
        <v/>
      </c>
      <c r="B107">
        <f>RADIANS(A107)</f>
        <v/>
      </c>
      <c r="C107">
        <f>ATAN2(SIN((1-$B$4)*B107),$B$5/($B$7*$B$4)-COS((1-$B$4)*B107))</f>
        <v/>
      </c>
      <c r="D107">
        <f>$B$5*COS(B107)-$B$6*COS(B107+C107)-$B$7*COS($B$4*B107)</f>
        <v/>
      </c>
      <c r="E107">
        <f>-$B$5*SIN(B107)+$B$6*SIN(B107+C107)+$B$7*SIN($B$4*B107)</f>
        <v/>
      </c>
      <c r="F107" t="inlineStr">
        <is>
          <t>Copy x(t), y(t) into SolidWorks Equation Driven Curve</t>
        </is>
      </c>
    </row>
    <row r="108">
      <c r="A108">
        <f>A107+1</f>
        <v/>
      </c>
      <c r="B108">
        <f>RADIANS(A108)</f>
        <v/>
      </c>
      <c r="C108">
        <f>ATAN2(SIN((1-$B$4)*B108),$B$5/($B$7*$B$4)-COS((1-$B$4)*B108))</f>
        <v/>
      </c>
      <c r="D108">
        <f>$B$5*COS(B108)-$B$6*COS(B108+C108)-$B$7*COS($B$4*B108)</f>
        <v/>
      </c>
      <c r="E108">
        <f>-$B$5*SIN(B108)+$B$6*SIN(B108+C108)+$B$7*SIN($B$4*B108)</f>
        <v/>
      </c>
      <c r="F108" t="inlineStr">
        <is>
          <t>Copy x(t), y(t) into SolidWorks Equation Driven Curve</t>
        </is>
      </c>
    </row>
    <row r="109">
      <c r="A109">
        <f>A108+1</f>
        <v/>
      </c>
      <c r="B109">
        <f>RADIANS(A109)</f>
        <v/>
      </c>
      <c r="C109">
        <f>ATAN2(SIN((1-$B$4)*B109),$B$5/($B$7*$B$4)-COS((1-$B$4)*B109))</f>
        <v/>
      </c>
      <c r="D109">
        <f>$B$5*COS(B109)-$B$6*COS(B109+C109)-$B$7*COS($B$4*B109)</f>
        <v/>
      </c>
      <c r="E109">
        <f>-$B$5*SIN(B109)+$B$6*SIN(B109+C109)+$B$7*SIN($B$4*B109)</f>
        <v/>
      </c>
      <c r="F109" t="inlineStr">
        <is>
          <t>Copy x(t), y(t) into SolidWorks Equation Driven Curve</t>
        </is>
      </c>
    </row>
    <row r="110">
      <c r="A110">
        <f>A109+1</f>
        <v/>
      </c>
      <c r="B110">
        <f>RADIANS(A110)</f>
        <v/>
      </c>
      <c r="C110">
        <f>ATAN2(SIN((1-$B$4)*B110),$B$5/($B$7*$B$4)-COS((1-$B$4)*B110))</f>
        <v/>
      </c>
      <c r="D110">
        <f>$B$5*COS(B110)-$B$6*COS(B110+C110)-$B$7*COS($B$4*B110)</f>
        <v/>
      </c>
      <c r="E110">
        <f>-$B$5*SIN(B110)+$B$6*SIN(B110+C110)+$B$7*SIN($B$4*B110)</f>
        <v/>
      </c>
      <c r="F110" t="inlineStr">
        <is>
          <t>Copy x(t), y(t) into SolidWorks Equation Driven Curve</t>
        </is>
      </c>
    </row>
    <row r="111">
      <c r="A111">
        <f>A110+1</f>
        <v/>
      </c>
      <c r="B111">
        <f>RADIANS(A111)</f>
        <v/>
      </c>
      <c r="C111">
        <f>ATAN2(SIN((1-$B$4)*B111),$B$5/($B$7*$B$4)-COS((1-$B$4)*B111))</f>
        <v/>
      </c>
      <c r="D111">
        <f>$B$5*COS(B111)-$B$6*COS(B111+C111)-$B$7*COS($B$4*B111)</f>
        <v/>
      </c>
      <c r="E111">
        <f>-$B$5*SIN(B111)+$B$6*SIN(B111+C111)+$B$7*SIN($B$4*B111)</f>
        <v/>
      </c>
      <c r="F111" t="inlineStr">
        <is>
          <t>Copy x(t), y(t) into SolidWorks Equation Driven Curve</t>
        </is>
      </c>
    </row>
    <row r="112">
      <c r="A112">
        <f>A111+1</f>
        <v/>
      </c>
      <c r="B112">
        <f>RADIANS(A112)</f>
        <v/>
      </c>
      <c r="C112">
        <f>ATAN2(SIN((1-$B$4)*B112),$B$5/($B$7*$B$4)-COS((1-$B$4)*B112))</f>
        <v/>
      </c>
      <c r="D112">
        <f>$B$5*COS(B112)-$B$6*COS(B112+C112)-$B$7*COS($B$4*B112)</f>
        <v/>
      </c>
      <c r="E112">
        <f>-$B$5*SIN(B112)+$B$6*SIN(B112+C112)+$B$7*SIN($B$4*B112)</f>
        <v/>
      </c>
      <c r="F112" t="inlineStr">
        <is>
          <t>Copy x(t), y(t) into SolidWorks Equation Driven Curve</t>
        </is>
      </c>
    </row>
    <row r="113">
      <c r="A113">
        <f>A112+1</f>
        <v/>
      </c>
      <c r="B113">
        <f>RADIANS(A113)</f>
        <v/>
      </c>
      <c r="C113">
        <f>ATAN2(SIN((1-$B$4)*B113),$B$5/($B$7*$B$4)-COS((1-$B$4)*B113))</f>
        <v/>
      </c>
      <c r="D113">
        <f>$B$5*COS(B113)-$B$6*COS(B113+C113)-$B$7*COS($B$4*B113)</f>
        <v/>
      </c>
      <c r="E113">
        <f>-$B$5*SIN(B113)+$B$6*SIN(B113+C113)+$B$7*SIN($B$4*B113)</f>
        <v/>
      </c>
      <c r="F113" t="inlineStr">
        <is>
          <t>Copy x(t), y(t) into SolidWorks Equation Driven Curve</t>
        </is>
      </c>
    </row>
    <row r="114">
      <c r="A114">
        <f>A113+1</f>
        <v/>
      </c>
      <c r="B114">
        <f>RADIANS(A114)</f>
        <v/>
      </c>
      <c r="C114">
        <f>ATAN2(SIN((1-$B$4)*B114),$B$5/($B$7*$B$4)-COS((1-$B$4)*B114))</f>
        <v/>
      </c>
      <c r="D114">
        <f>$B$5*COS(B114)-$B$6*COS(B114+C114)-$B$7*COS($B$4*B114)</f>
        <v/>
      </c>
      <c r="E114">
        <f>-$B$5*SIN(B114)+$B$6*SIN(B114+C114)+$B$7*SIN($B$4*B114)</f>
        <v/>
      </c>
      <c r="F114" t="inlineStr">
        <is>
          <t>Copy x(t), y(t) into SolidWorks Equation Driven Curve</t>
        </is>
      </c>
    </row>
    <row r="115">
      <c r="A115">
        <f>A114+1</f>
        <v/>
      </c>
      <c r="B115">
        <f>RADIANS(A115)</f>
        <v/>
      </c>
      <c r="C115">
        <f>ATAN2(SIN((1-$B$4)*B115),$B$5/($B$7*$B$4)-COS((1-$B$4)*B115))</f>
        <v/>
      </c>
      <c r="D115">
        <f>$B$5*COS(B115)-$B$6*COS(B115+C115)-$B$7*COS($B$4*B115)</f>
        <v/>
      </c>
      <c r="E115">
        <f>-$B$5*SIN(B115)+$B$6*SIN(B115+C115)+$B$7*SIN($B$4*B115)</f>
        <v/>
      </c>
      <c r="F115" t="inlineStr">
        <is>
          <t>Copy x(t), y(t) into SolidWorks Equation Driven Curve</t>
        </is>
      </c>
    </row>
    <row r="116">
      <c r="A116">
        <f>A115+1</f>
        <v/>
      </c>
      <c r="B116">
        <f>RADIANS(A116)</f>
        <v/>
      </c>
      <c r="C116">
        <f>ATAN2(SIN((1-$B$4)*B116),$B$5/($B$7*$B$4)-COS((1-$B$4)*B116))</f>
        <v/>
      </c>
      <c r="D116">
        <f>$B$5*COS(B116)-$B$6*COS(B116+C116)-$B$7*COS($B$4*B116)</f>
        <v/>
      </c>
      <c r="E116">
        <f>-$B$5*SIN(B116)+$B$6*SIN(B116+C116)+$B$7*SIN($B$4*B116)</f>
        <v/>
      </c>
      <c r="F116" t="inlineStr">
        <is>
          <t>Copy x(t), y(t) into SolidWorks Equation Driven Curve</t>
        </is>
      </c>
    </row>
    <row r="117">
      <c r="A117">
        <f>A116+1</f>
        <v/>
      </c>
      <c r="B117">
        <f>RADIANS(A117)</f>
        <v/>
      </c>
      <c r="C117">
        <f>ATAN2(SIN((1-$B$4)*B117),$B$5/($B$7*$B$4)-COS((1-$B$4)*B117))</f>
        <v/>
      </c>
      <c r="D117">
        <f>$B$5*COS(B117)-$B$6*COS(B117+C117)-$B$7*COS($B$4*B117)</f>
        <v/>
      </c>
      <c r="E117">
        <f>-$B$5*SIN(B117)+$B$6*SIN(B117+C117)+$B$7*SIN($B$4*B117)</f>
        <v/>
      </c>
      <c r="F117" t="inlineStr">
        <is>
          <t>Copy x(t), y(t) into SolidWorks Equation Driven Curve</t>
        </is>
      </c>
    </row>
    <row r="118">
      <c r="A118">
        <f>A117+1</f>
        <v/>
      </c>
      <c r="B118">
        <f>RADIANS(A118)</f>
        <v/>
      </c>
      <c r="C118">
        <f>ATAN2(SIN((1-$B$4)*B118),$B$5/($B$7*$B$4)-COS((1-$B$4)*B118))</f>
        <v/>
      </c>
      <c r="D118">
        <f>$B$5*COS(B118)-$B$6*COS(B118+C118)-$B$7*COS($B$4*B118)</f>
        <v/>
      </c>
      <c r="E118">
        <f>-$B$5*SIN(B118)+$B$6*SIN(B118+C118)+$B$7*SIN($B$4*B118)</f>
        <v/>
      </c>
      <c r="F118" t="inlineStr">
        <is>
          <t>Copy x(t), y(t) into SolidWorks Equation Driven Curve</t>
        </is>
      </c>
    </row>
    <row r="119">
      <c r="A119">
        <f>A118+1</f>
        <v/>
      </c>
      <c r="B119">
        <f>RADIANS(A119)</f>
        <v/>
      </c>
      <c r="C119">
        <f>ATAN2(SIN((1-$B$4)*B119),$B$5/($B$7*$B$4)-COS((1-$B$4)*B119))</f>
        <v/>
      </c>
      <c r="D119">
        <f>$B$5*COS(B119)-$B$6*COS(B119+C119)-$B$7*COS($B$4*B119)</f>
        <v/>
      </c>
      <c r="E119">
        <f>-$B$5*SIN(B119)+$B$6*SIN(B119+C119)+$B$7*SIN($B$4*B119)</f>
        <v/>
      </c>
      <c r="F119" t="inlineStr">
        <is>
          <t>Copy x(t), y(t) into SolidWorks Equation Driven Curve</t>
        </is>
      </c>
    </row>
    <row r="120">
      <c r="A120">
        <f>A119+1</f>
        <v/>
      </c>
      <c r="B120">
        <f>RADIANS(A120)</f>
        <v/>
      </c>
      <c r="C120">
        <f>ATAN2(SIN((1-$B$4)*B120),$B$5/($B$7*$B$4)-COS((1-$B$4)*B120))</f>
        <v/>
      </c>
      <c r="D120">
        <f>$B$5*COS(B120)-$B$6*COS(B120+C120)-$B$7*COS($B$4*B120)</f>
        <v/>
      </c>
      <c r="E120">
        <f>-$B$5*SIN(B120)+$B$6*SIN(B120+C120)+$B$7*SIN($B$4*B120)</f>
        <v/>
      </c>
      <c r="F120" t="inlineStr">
        <is>
          <t>Copy x(t), y(t) into SolidWorks Equation Driven Curve</t>
        </is>
      </c>
    </row>
    <row r="121">
      <c r="A121">
        <f>A120+1</f>
        <v/>
      </c>
      <c r="B121">
        <f>RADIANS(A121)</f>
        <v/>
      </c>
      <c r="C121">
        <f>ATAN2(SIN((1-$B$4)*B121),$B$5/($B$7*$B$4)-COS((1-$B$4)*B121))</f>
        <v/>
      </c>
      <c r="D121">
        <f>$B$5*COS(B121)-$B$6*COS(B121+C121)-$B$7*COS($B$4*B121)</f>
        <v/>
      </c>
      <c r="E121">
        <f>-$B$5*SIN(B121)+$B$6*SIN(B121+C121)+$B$7*SIN($B$4*B121)</f>
        <v/>
      </c>
      <c r="F121" t="inlineStr">
        <is>
          <t>Copy x(t), y(t) into SolidWorks Equation Driven Curve</t>
        </is>
      </c>
    </row>
    <row r="122">
      <c r="A122">
        <f>A121+1</f>
        <v/>
      </c>
      <c r="B122">
        <f>RADIANS(A122)</f>
        <v/>
      </c>
      <c r="C122">
        <f>ATAN2(SIN((1-$B$4)*B122),$B$5/($B$7*$B$4)-COS((1-$B$4)*B122))</f>
        <v/>
      </c>
      <c r="D122">
        <f>$B$5*COS(B122)-$B$6*COS(B122+C122)-$B$7*COS($B$4*B122)</f>
        <v/>
      </c>
      <c r="E122">
        <f>-$B$5*SIN(B122)+$B$6*SIN(B122+C122)+$B$7*SIN($B$4*B122)</f>
        <v/>
      </c>
      <c r="F122" t="inlineStr">
        <is>
          <t>Copy x(t), y(t) into SolidWorks Equation Driven Curve</t>
        </is>
      </c>
    </row>
    <row r="123">
      <c r="A123">
        <f>A122+1</f>
        <v/>
      </c>
      <c r="B123">
        <f>RADIANS(A123)</f>
        <v/>
      </c>
      <c r="C123">
        <f>ATAN2(SIN((1-$B$4)*B123),$B$5/($B$7*$B$4)-COS((1-$B$4)*B123))</f>
        <v/>
      </c>
      <c r="D123">
        <f>$B$5*COS(B123)-$B$6*COS(B123+C123)-$B$7*COS($B$4*B123)</f>
        <v/>
      </c>
      <c r="E123">
        <f>-$B$5*SIN(B123)+$B$6*SIN(B123+C123)+$B$7*SIN($B$4*B123)</f>
        <v/>
      </c>
      <c r="F123" t="inlineStr">
        <is>
          <t>Copy x(t), y(t) into SolidWorks Equation Driven Curve</t>
        </is>
      </c>
    </row>
    <row r="124">
      <c r="A124">
        <f>A123+1</f>
        <v/>
      </c>
      <c r="B124">
        <f>RADIANS(A124)</f>
        <v/>
      </c>
      <c r="C124">
        <f>ATAN2(SIN((1-$B$4)*B124),$B$5/($B$7*$B$4)-COS((1-$B$4)*B124))</f>
        <v/>
      </c>
      <c r="D124">
        <f>$B$5*COS(B124)-$B$6*COS(B124+C124)-$B$7*COS($B$4*B124)</f>
        <v/>
      </c>
      <c r="E124">
        <f>-$B$5*SIN(B124)+$B$6*SIN(B124+C124)+$B$7*SIN($B$4*B124)</f>
        <v/>
      </c>
      <c r="F124" t="inlineStr">
        <is>
          <t>Copy x(t), y(t) into SolidWorks Equation Driven Curve</t>
        </is>
      </c>
    </row>
    <row r="125">
      <c r="A125">
        <f>A124+1</f>
        <v/>
      </c>
      <c r="B125">
        <f>RADIANS(A125)</f>
        <v/>
      </c>
      <c r="C125">
        <f>ATAN2(SIN((1-$B$4)*B125),$B$5/($B$7*$B$4)-COS((1-$B$4)*B125))</f>
        <v/>
      </c>
      <c r="D125">
        <f>$B$5*COS(B125)-$B$6*COS(B125+C125)-$B$7*COS($B$4*B125)</f>
        <v/>
      </c>
      <c r="E125">
        <f>-$B$5*SIN(B125)+$B$6*SIN(B125+C125)+$B$7*SIN($B$4*B125)</f>
        <v/>
      </c>
      <c r="F125" t="inlineStr">
        <is>
          <t>Copy x(t), y(t) into SolidWorks Equation Driven Curve</t>
        </is>
      </c>
    </row>
    <row r="126">
      <c r="A126">
        <f>A125+1</f>
        <v/>
      </c>
      <c r="B126">
        <f>RADIANS(A126)</f>
        <v/>
      </c>
      <c r="C126">
        <f>ATAN2(SIN((1-$B$4)*B126),$B$5/($B$7*$B$4)-COS((1-$B$4)*B126))</f>
        <v/>
      </c>
      <c r="D126">
        <f>$B$5*COS(B126)-$B$6*COS(B126+C126)-$B$7*COS($B$4*B126)</f>
        <v/>
      </c>
      <c r="E126">
        <f>-$B$5*SIN(B126)+$B$6*SIN(B126+C126)+$B$7*SIN($B$4*B126)</f>
        <v/>
      </c>
      <c r="F126" t="inlineStr">
        <is>
          <t>Copy x(t), y(t) into SolidWorks Equation Driven Curve</t>
        </is>
      </c>
    </row>
    <row r="127">
      <c r="A127">
        <f>A126+1</f>
        <v/>
      </c>
      <c r="B127">
        <f>RADIANS(A127)</f>
        <v/>
      </c>
      <c r="C127">
        <f>ATAN2(SIN((1-$B$4)*B127),$B$5/($B$7*$B$4)-COS((1-$B$4)*B127))</f>
        <v/>
      </c>
      <c r="D127">
        <f>$B$5*COS(B127)-$B$6*COS(B127+C127)-$B$7*COS($B$4*B127)</f>
        <v/>
      </c>
      <c r="E127">
        <f>-$B$5*SIN(B127)+$B$6*SIN(B127+C127)+$B$7*SIN($B$4*B127)</f>
        <v/>
      </c>
      <c r="F127" t="inlineStr">
        <is>
          <t>Copy x(t), y(t) into SolidWorks Equation Driven Curve</t>
        </is>
      </c>
    </row>
    <row r="128">
      <c r="A128">
        <f>A127+1</f>
        <v/>
      </c>
      <c r="B128">
        <f>RADIANS(A128)</f>
        <v/>
      </c>
      <c r="C128">
        <f>ATAN2(SIN((1-$B$4)*B128),$B$5/($B$7*$B$4)-COS((1-$B$4)*B128))</f>
        <v/>
      </c>
      <c r="D128">
        <f>$B$5*COS(B128)-$B$6*COS(B128+C128)-$B$7*COS($B$4*B128)</f>
        <v/>
      </c>
      <c r="E128">
        <f>-$B$5*SIN(B128)+$B$6*SIN(B128+C128)+$B$7*SIN($B$4*B128)</f>
        <v/>
      </c>
      <c r="F128" t="inlineStr">
        <is>
          <t>Copy x(t), y(t) into SolidWorks Equation Driven Curve</t>
        </is>
      </c>
    </row>
    <row r="129">
      <c r="A129">
        <f>A128+1</f>
        <v/>
      </c>
      <c r="B129">
        <f>RADIANS(A129)</f>
        <v/>
      </c>
      <c r="C129">
        <f>ATAN2(SIN((1-$B$4)*B129),$B$5/($B$7*$B$4)-COS((1-$B$4)*B129))</f>
        <v/>
      </c>
      <c r="D129">
        <f>$B$5*COS(B129)-$B$6*COS(B129+C129)-$B$7*COS($B$4*B129)</f>
        <v/>
      </c>
      <c r="E129">
        <f>-$B$5*SIN(B129)+$B$6*SIN(B129+C129)+$B$7*SIN($B$4*B129)</f>
        <v/>
      </c>
      <c r="F129" t="inlineStr">
        <is>
          <t>Copy x(t), y(t) into SolidWorks Equation Driven Curve</t>
        </is>
      </c>
    </row>
    <row r="130">
      <c r="A130">
        <f>A129+1</f>
        <v/>
      </c>
      <c r="B130">
        <f>RADIANS(A130)</f>
        <v/>
      </c>
      <c r="C130">
        <f>ATAN2(SIN((1-$B$4)*B130),$B$5/($B$7*$B$4)-COS((1-$B$4)*B130))</f>
        <v/>
      </c>
      <c r="D130">
        <f>$B$5*COS(B130)-$B$6*COS(B130+C130)-$B$7*COS($B$4*B130)</f>
        <v/>
      </c>
      <c r="E130">
        <f>-$B$5*SIN(B130)+$B$6*SIN(B130+C130)+$B$7*SIN($B$4*B130)</f>
        <v/>
      </c>
      <c r="F130" t="inlineStr">
        <is>
          <t>Copy x(t), y(t) into SolidWorks Equation Driven Curve</t>
        </is>
      </c>
    </row>
    <row r="131">
      <c r="A131">
        <f>A130+1</f>
        <v/>
      </c>
      <c r="B131">
        <f>RADIANS(A131)</f>
        <v/>
      </c>
      <c r="C131">
        <f>ATAN2(SIN((1-$B$4)*B131),$B$5/($B$7*$B$4)-COS((1-$B$4)*B131))</f>
        <v/>
      </c>
      <c r="D131">
        <f>$B$5*COS(B131)-$B$6*COS(B131+C131)-$B$7*COS($B$4*B131)</f>
        <v/>
      </c>
      <c r="E131">
        <f>-$B$5*SIN(B131)+$B$6*SIN(B131+C131)+$B$7*SIN($B$4*B131)</f>
        <v/>
      </c>
      <c r="F131" t="inlineStr">
        <is>
          <t>Copy x(t), y(t) into SolidWorks Equation Driven Curve</t>
        </is>
      </c>
    </row>
    <row r="132">
      <c r="A132">
        <f>A131+1</f>
        <v/>
      </c>
      <c r="B132">
        <f>RADIANS(A132)</f>
        <v/>
      </c>
      <c r="C132">
        <f>ATAN2(SIN((1-$B$4)*B132),$B$5/($B$7*$B$4)-COS((1-$B$4)*B132))</f>
        <v/>
      </c>
      <c r="D132">
        <f>$B$5*COS(B132)-$B$6*COS(B132+C132)-$B$7*COS($B$4*B132)</f>
        <v/>
      </c>
      <c r="E132">
        <f>-$B$5*SIN(B132)+$B$6*SIN(B132+C132)+$B$7*SIN($B$4*B132)</f>
        <v/>
      </c>
      <c r="F132" t="inlineStr">
        <is>
          <t>Copy x(t), y(t) into SolidWorks Equation Driven Curve</t>
        </is>
      </c>
    </row>
    <row r="133">
      <c r="A133">
        <f>A132+1</f>
        <v/>
      </c>
      <c r="B133">
        <f>RADIANS(A133)</f>
        <v/>
      </c>
      <c r="C133">
        <f>ATAN2(SIN((1-$B$4)*B133),$B$5/($B$7*$B$4)-COS((1-$B$4)*B133))</f>
        <v/>
      </c>
      <c r="D133">
        <f>$B$5*COS(B133)-$B$6*COS(B133+C133)-$B$7*COS($B$4*B133)</f>
        <v/>
      </c>
      <c r="E133">
        <f>-$B$5*SIN(B133)+$B$6*SIN(B133+C133)+$B$7*SIN($B$4*B133)</f>
        <v/>
      </c>
      <c r="F133" t="inlineStr">
        <is>
          <t>Copy x(t), y(t) into SolidWorks Equation Driven Curve</t>
        </is>
      </c>
    </row>
    <row r="134">
      <c r="A134">
        <f>A133+1</f>
        <v/>
      </c>
      <c r="B134">
        <f>RADIANS(A134)</f>
        <v/>
      </c>
      <c r="C134">
        <f>ATAN2(SIN((1-$B$4)*B134),$B$5/($B$7*$B$4)-COS((1-$B$4)*B134))</f>
        <v/>
      </c>
      <c r="D134">
        <f>$B$5*COS(B134)-$B$6*COS(B134+C134)-$B$7*COS($B$4*B134)</f>
        <v/>
      </c>
      <c r="E134">
        <f>-$B$5*SIN(B134)+$B$6*SIN(B134+C134)+$B$7*SIN($B$4*B134)</f>
        <v/>
      </c>
      <c r="F134" t="inlineStr">
        <is>
          <t>Copy x(t), y(t) into SolidWorks Equation Driven Curve</t>
        </is>
      </c>
    </row>
    <row r="135">
      <c r="A135">
        <f>A134+1</f>
        <v/>
      </c>
      <c r="B135">
        <f>RADIANS(A135)</f>
        <v/>
      </c>
      <c r="C135">
        <f>ATAN2(SIN((1-$B$4)*B135),$B$5/($B$7*$B$4)-COS((1-$B$4)*B135))</f>
        <v/>
      </c>
      <c r="D135">
        <f>$B$5*COS(B135)-$B$6*COS(B135+C135)-$B$7*COS($B$4*B135)</f>
        <v/>
      </c>
      <c r="E135">
        <f>-$B$5*SIN(B135)+$B$6*SIN(B135+C135)+$B$7*SIN($B$4*B135)</f>
        <v/>
      </c>
      <c r="F135" t="inlineStr">
        <is>
          <t>Copy x(t), y(t) into SolidWorks Equation Driven Curve</t>
        </is>
      </c>
    </row>
    <row r="136">
      <c r="A136">
        <f>A135+1</f>
        <v/>
      </c>
      <c r="B136">
        <f>RADIANS(A136)</f>
        <v/>
      </c>
      <c r="C136">
        <f>ATAN2(SIN((1-$B$4)*B136),$B$5/($B$7*$B$4)-COS((1-$B$4)*B136))</f>
        <v/>
      </c>
      <c r="D136">
        <f>$B$5*COS(B136)-$B$6*COS(B136+C136)-$B$7*COS($B$4*B136)</f>
        <v/>
      </c>
      <c r="E136">
        <f>-$B$5*SIN(B136)+$B$6*SIN(B136+C136)+$B$7*SIN($B$4*B136)</f>
        <v/>
      </c>
      <c r="F136" t="inlineStr">
        <is>
          <t>Copy x(t), y(t) into SolidWorks Equation Driven Curve</t>
        </is>
      </c>
    </row>
    <row r="137">
      <c r="A137">
        <f>A136+1</f>
        <v/>
      </c>
      <c r="B137">
        <f>RADIANS(A137)</f>
        <v/>
      </c>
      <c r="C137">
        <f>ATAN2(SIN((1-$B$4)*B137),$B$5/($B$7*$B$4)-COS((1-$B$4)*B137))</f>
        <v/>
      </c>
      <c r="D137">
        <f>$B$5*COS(B137)-$B$6*COS(B137+C137)-$B$7*COS($B$4*B137)</f>
        <v/>
      </c>
      <c r="E137">
        <f>-$B$5*SIN(B137)+$B$6*SIN(B137+C137)+$B$7*SIN($B$4*B137)</f>
        <v/>
      </c>
      <c r="F137" t="inlineStr">
        <is>
          <t>Copy x(t), y(t) into SolidWorks Equation Driven Curve</t>
        </is>
      </c>
    </row>
    <row r="138">
      <c r="A138">
        <f>A137+1</f>
        <v/>
      </c>
      <c r="B138">
        <f>RADIANS(A138)</f>
        <v/>
      </c>
      <c r="C138">
        <f>ATAN2(SIN((1-$B$4)*B138),$B$5/($B$7*$B$4)-COS((1-$B$4)*B138))</f>
        <v/>
      </c>
      <c r="D138">
        <f>$B$5*COS(B138)-$B$6*COS(B138+C138)-$B$7*COS($B$4*B138)</f>
        <v/>
      </c>
      <c r="E138">
        <f>-$B$5*SIN(B138)+$B$6*SIN(B138+C138)+$B$7*SIN($B$4*B138)</f>
        <v/>
      </c>
      <c r="F138" t="inlineStr">
        <is>
          <t>Copy x(t), y(t) into SolidWorks Equation Driven Curve</t>
        </is>
      </c>
    </row>
    <row r="139">
      <c r="A139">
        <f>A138+1</f>
        <v/>
      </c>
      <c r="B139">
        <f>RADIANS(A139)</f>
        <v/>
      </c>
      <c r="C139">
        <f>ATAN2(SIN((1-$B$4)*B139),$B$5/($B$7*$B$4)-COS((1-$B$4)*B139))</f>
        <v/>
      </c>
      <c r="D139">
        <f>$B$5*COS(B139)-$B$6*COS(B139+C139)-$B$7*COS($B$4*B139)</f>
        <v/>
      </c>
      <c r="E139">
        <f>-$B$5*SIN(B139)+$B$6*SIN(B139+C139)+$B$7*SIN($B$4*B139)</f>
        <v/>
      </c>
      <c r="F139" t="inlineStr">
        <is>
          <t>Copy x(t), y(t) into SolidWorks Equation Driven Curve</t>
        </is>
      </c>
    </row>
    <row r="140">
      <c r="A140">
        <f>A139+1</f>
        <v/>
      </c>
      <c r="B140">
        <f>RADIANS(A140)</f>
        <v/>
      </c>
      <c r="C140">
        <f>ATAN2(SIN((1-$B$4)*B140),$B$5/($B$7*$B$4)-COS((1-$B$4)*B140))</f>
        <v/>
      </c>
      <c r="D140">
        <f>$B$5*COS(B140)-$B$6*COS(B140+C140)-$B$7*COS($B$4*B140)</f>
        <v/>
      </c>
      <c r="E140">
        <f>-$B$5*SIN(B140)+$B$6*SIN(B140+C140)+$B$7*SIN($B$4*B140)</f>
        <v/>
      </c>
      <c r="F140" t="inlineStr">
        <is>
          <t>Copy x(t), y(t) into SolidWorks Equation Driven Curve</t>
        </is>
      </c>
    </row>
    <row r="141">
      <c r="A141">
        <f>A140+1</f>
        <v/>
      </c>
      <c r="B141">
        <f>RADIANS(A141)</f>
        <v/>
      </c>
      <c r="C141">
        <f>ATAN2(SIN((1-$B$4)*B141),$B$5/($B$7*$B$4)-COS((1-$B$4)*B141))</f>
        <v/>
      </c>
      <c r="D141">
        <f>$B$5*COS(B141)-$B$6*COS(B141+C141)-$B$7*COS($B$4*B141)</f>
        <v/>
      </c>
      <c r="E141">
        <f>-$B$5*SIN(B141)+$B$6*SIN(B141+C141)+$B$7*SIN($B$4*B141)</f>
        <v/>
      </c>
      <c r="F141" t="inlineStr">
        <is>
          <t>Copy x(t), y(t) into SolidWorks Equation Driven Curve</t>
        </is>
      </c>
    </row>
    <row r="142">
      <c r="A142">
        <f>A141+1</f>
        <v/>
      </c>
      <c r="B142">
        <f>RADIANS(A142)</f>
        <v/>
      </c>
      <c r="C142">
        <f>ATAN2(SIN((1-$B$4)*B142),$B$5/($B$7*$B$4)-COS((1-$B$4)*B142))</f>
        <v/>
      </c>
      <c r="D142">
        <f>$B$5*COS(B142)-$B$6*COS(B142+C142)-$B$7*COS($B$4*B142)</f>
        <v/>
      </c>
      <c r="E142">
        <f>-$B$5*SIN(B142)+$B$6*SIN(B142+C142)+$B$7*SIN($B$4*B142)</f>
        <v/>
      </c>
      <c r="F142" t="inlineStr">
        <is>
          <t>Copy x(t), y(t) into SolidWorks Equation Driven Curve</t>
        </is>
      </c>
    </row>
    <row r="143">
      <c r="A143">
        <f>A142+1</f>
        <v/>
      </c>
      <c r="B143">
        <f>RADIANS(A143)</f>
        <v/>
      </c>
      <c r="C143">
        <f>ATAN2(SIN((1-$B$4)*B143),$B$5/($B$7*$B$4)-COS((1-$B$4)*B143))</f>
        <v/>
      </c>
      <c r="D143">
        <f>$B$5*COS(B143)-$B$6*COS(B143+C143)-$B$7*COS($B$4*B143)</f>
        <v/>
      </c>
      <c r="E143">
        <f>-$B$5*SIN(B143)+$B$6*SIN(B143+C143)+$B$7*SIN($B$4*B143)</f>
        <v/>
      </c>
      <c r="F143" t="inlineStr">
        <is>
          <t>Copy x(t), y(t) into SolidWorks Equation Driven Curve</t>
        </is>
      </c>
    </row>
    <row r="144">
      <c r="A144">
        <f>A143+1</f>
        <v/>
      </c>
      <c r="B144">
        <f>RADIANS(A144)</f>
        <v/>
      </c>
      <c r="C144">
        <f>ATAN2(SIN((1-$B$4)*B144),$B$5/($B$7*$B$4)-COS((1-$B$4)*B144))</f>
        <v/>
      </c>
      <c r="D144">
        <f>$B$5*COS(B144)-$B$6*COS(B144+C144)-$B$7*COS($B$4*B144)</f>
        <v/>
      </c>
      <c r="E144">
        <f>-$B$5*SIN(B144)+$B$6*SIN(B144+C144)+$B$7*SIN($B$4*B144)</f>
        <v/>
      </c>
      <c r="F144" t="inlineStr">
        <is>
          <t>Copy x(t), y(t) into SolidWorks Equation Driven Curve</t>
        </is>
      </c>
    </row>
    <row r="145">
      <c r="A145">
        <f>A144+1</f>
        <v/>
      </c>
      <c r="B145">
        <f>RADIANS(A145)</f>
        <v/>
      </c>
      <c r="C145">
        <f>ATAN2(SIN((1-$B$4)*B145),$B$5/($B$7*$B$4)-COS((1-$B$4)*B145))</f>
        <v/>
      </c>
      <c r="D145">
        <f>$B$5*COS(B145)-$B$6*COS(B145+C145)-$B$7*COS($B$4*B145)</f>
        <v/>
      </c>
      <c r="E145">
        <f>-$B$5*SIN(B145)+$B$6*SIN(B145+C145)+$B$7*SIN($B$4*B145)</f>
        <v/>
      </c>
      <c r="F145" t="inlineStr">
        <is>
          <t>Copy x(t), y(t) into SolidWorks Equation Driven Curve</t>
        </is>
      </c>
    </row>
    <row r="146">
      <c r="A146">
        <f>A145+1</f>
        <v/>
      </c>
      <c r="B146">
        <f>RADIANS(A146)</f>
        <v/>
      </c>
      <c r="C146">
        <f>ATAN2(SIN((1-$B$4)*B146),$B$5/($B$7*$B$4)-COS((1-$B$4)*B146))</f>
        <v/>
      </c>
      <c r="D146">
        <f>$B$5*COS(B146)-$B$6*COS(B146+C146)-$B$7*COS($B$4*B146)</f>
        <v/>
      </c>
      <c r="E146">
        <f>-$B$5*SIN(B146)+$B$6*SIN(B146+C146)+$B$7*SIN($B$4*B146)</f>
        <v/>
      </c>
      <c r="F146" t="inlineStr">
        <is>
          <t>Copy x(t), y(t) into SolidWorks Equation Driven Curve</t>
        </is>
      </c>
    </row>
    <row r="147">
      <c r="A147">
        <f>A146+1</f>
        <v/>
      </c>
      <c r="B147">
        <f>RADIANS(A147)</f>
        <v/>
      </c>
      <c r="C147">
        <f>ATAN2(SIN((1-$B$4)*B147),$B$5/($B$7*$B$4)-COS((1-$B$4)*B147))</f>
        <v/>
      </c>
      <c r="D147">
        <f>$B$5*COS(B147)-$B$6*COS(B147+C147)-$B$7*COS($B$4*B147)</f>
        <v/>
      </c>
      <c r="E147">
        <f>-$B$5*SIN(B147)+$B$6*SIN(B147+C147)+$B$7*SIN($B$4*B147)</f>
        <v/>
      </c>
      <c r="F147" t="inlineStr">
        <is>
          <t>Copy x(t), y(t) into SolidWorks Equation Driven Curve</t>
        </is>
      </c>
    </row>
    <row r="148">
      <c r="A148">
        <f>A147+1</f>
        <v/>
      </c>
      <c r="B148">
        <f>RADIANS(A148)</f>
        <v/>
      </c>
      <c r="C148">
        <f>ATAN2(SIN((1-$B$4)*B148),$B$5/($B$7*$B$4)-COS((1-$B$4)*B148))</f>
        <v/>
      </c>
      <c r="D148">
        <f>$B$5*COS(B148)-$B$6*COS(B148+C148)-$B$7*COS($B$4*B148)</f>
        <v/>
      </c>
      <c r="E148">
        <f>-$B$5*SIN(B148)+$B$6*SIN(B148+C148)+$B$7*SIN($B$4*B148)</f>
        <v/>
      </c>
      <c r="F148" t="inlineStr">
        <is>
          <t>Copy x(t), y(t) into SolidWorks Equation Driven Curve</t>
        </is>
      </c>
    </row>
    <row r="149">
      <c r="A149">
        <f>A148+1</f>
        <v/>
      </c>
      <c r="B149">
        <f>RADIANS(A149)</f>
        <v/>
      </c>
      <c r="C149">
        <f>ATAN2(SIN((1-$B$4)*B149),$B$5/($B$7*$B$4)-COS((1-$B$4)*B149))</f>
        <v/>
      </c>
      <c r="D149">
        <f>$B$5*COS(B149)-$B$6*COS(B149+C149)-$B$7*COS($B$4*B149)</f>
        <v/>
      </c>
      <c r="E149">
        <f>-$B$5*SIN(B149)+$B$6*SIN(B149+C149)+$B$7*SIN($B$4*B149)</f>
        <v/>
      </c>
      <c r="F149" t="inlineStr">
        <is>
          <t>Copy x(t), y(t) into SolidWorks Equation Driven Curve</t>
        </is>
      </c>
    </row>
    <row r="150">
      <c r="A150">
        <f>A149+1</f>
        <v/>
      </c>
      <c r="B150">
        <f>RADIANS(A150)</f>
        <v/>
      </c>
      <c r="C150">
        <f>ATAN2(SIN((1-$B$4)*B150),$B$5/($B$7*$B$4)-COS((1-$B$4)*B150))</f>
        <v/>
      </c>
      <c r="D150">
        <f>$B$5*COS(B150)-$B$6*COS(B150+C150)-$B$7*COS($B$4*B150)</f>
        <v/>
      </c>
      <c r="E150">
        <f>-$B$5*SIN(B150)+$B$6*SIN(B150+C150)+$B$7*SIN($B$4*B150)</f>
        <v/>
      </c>
      <c r="F150" t="inlineStr">
        <is>
          <t>Copy x(t), y(t) into SolidWorks Equation Driven Curve</t>
        </is>
      </c>
    </row>
    <row r="151">
      <c r="A151">
        <f>A150+1</f>
        <v/>
      </c>
      <c r="B151">
        <f>RADIANS(A151)</f>
        <v/>
      </c>
      <c r="C151">
        <f>ATAN2(SIN((1-$B$4)*B151),$B$5/($B$7*$B$4)-COS((1-$B$4)*B151))</f>
        <v/>
      </c>
      <c r="D151">
        <f>$B$5*COS(B151)-$B$6*COS(B151+C151)-$B$7*COS($B$4*B151)</f>
        <v/>
      </c>
      <c r="E151">
        <f>-$B$5*SIN(B151)+$B$6*SIN(B151+C151)+$B$7*SIN($B$4*B151)</f>
        <v/>
      </c>
      <c r="F151" t="inlineStr">
        <is>
          <t>Copy x(t), y(t) into SolidWorks Equation Driven Curve</t>
        </is>
      </c>
    </row>
    <row r="152">
      <c r="A152">
        <f>A151+1</f>
        <v/>
      </c>
      <c r="B152">
        <f>RADIANS(A152)</f>
        <v/>
      </c>
      <c r="C152">
        <f>ATAN2(SIN((1-$B$4)*B152),$B$5/($B$7*$B$4)-COS((1-$B$4)*B152))</f>
        <v/>
      </c>
      <c r="D152">
        <f>$B$5*COS(B152)-$B$6*COS(B152+C152)-$B$7*COS($B$4*B152)</f>
        <v/>
      </c>
      <c r="E152">
        <f>-$B$5*SIN(B152)+$B$6*SIN(B152+C152)+$B$7*SIN($B$4*B152)</f>
        <v/>
      </c>
      <c r="F152" t="inlineStr">
        <is>
          <t>Copy x(t), y(t) into SolidWorks Equation Driven Curve</t>
        </is>
      </c>
    </row>
    <row r="153">
      <c r="A153">
        <f>A152+1</f>
        <v/>
      </c>
      <c r="B153">
        <f>RADIANS(A153)</f>
        <v/>
      </c>
      <c r="C153">
        <f>ATAN2(SIN((1-$B$4)*B153),$B$5/($B$7*$B$4)-COS((1-$B$4)*B153))</f>
        <v/>
      </c>
      <c r="D153">
        <f>$B$5*COS(B153)-$B$6*COS(B153+C153)-$B$7*COS($B$4*B153)</f>
        <v/>
      </c>
      <c r="E153">
        <f>-$B$5*SIN(B153)+$B$6*SIN(B153+C153)+$B$7*SIN($B$4*B153)</f>
        <v/>
      </c>
      <c r="F153" t="inlineStr">
        <is>
          <t>Copy x(t), y(t) into SolidWorks Equation Driven Curve</t>
        </is>
      </c>
    </row>
    <row r="154">
      <c r="A154">
        <f>A153+1</f>
        <v/>
      </c>
      <c r="B154">
        <f>RADIANS(A154)</f>
        <v/>
      </c>
      <c r="C154">
        <f>ATAN2(SIN((1-$B$4)*B154),$B$5/($B$7*$B$4)-COS((1-$B$4)*B154))</f>
        <v/>
      </c>
      <c r="D154">
        <f>$B$5*COS(B154)-$B$6*COS(B154+C154)-$B$7*COS($B$4*B154)</f>
        <v/>
      </c>
      <c r="E154">
        <f>-$B$5*SIN(B154)+$B$6*SIN(B154+C154)+$B$7*SIN($B$4*B154)</f>
        <v/>
      </c>
      <c r="F154" t="inlineStr">
        <is>
          <t>Copy x(t), y(t) into SolidWorks Equation Driven Curve</t>
        </is>
      </c>
    </row>
    <row r="155">
      <c r="A155">
        <f>A154+1</f>
        <v/>
      </c>
      <c r="B155">
        <f>RADIANS(A155)</f>
        <v/>
      </c>
      <c r="C155">
        <f>ATAN2(SIN((1-$B$4)*B155),$B$5/($B$7*$B$4)-COS((1-$B$4)*B155))</f>
        <v/>
      </c>
      <c r="D155">
        <f>$B$5*COS(B155)-$B$6*COS(B155+C155)-$B$7*COS($B$4*B155)</f>
        <v/>
      </c>
      <c r="E155">
        <f>-$B$5*SIN(B155)+$B$6*SIN(B155+C155)+$B$7*SIN($B$4*B155)</f>
        <v/>
      </c>
      <c r="F155" t="inlineStr">
        <is>
          <t>Copy x(t), y(t) into SolidWorks Equation Driven Curve</t>
        </is>
      </c>
    </row>
    <row r="156">
      <c r="A156">
        <f>A155+1</f>
        <v/>
      </c>
      <c r="B156">
        <f>RADIANS(A156)</f>
        <v/>
      </c>
      <c r="C156">
        <f>ATAN2(SIN((1-$B$4)*B156),$B$5/($B$7*$B$4)-COS((1-$B$4)*B156))</f>
        <v/>
      </c>
      <c r="D156">
        <f>$B$5*COS(B156)-$B$6*COS(B156+C156)-$B$7*COS($B$4*B156)</f>
        <v/>
      </c>
      <c r="E156">
        <f>-$B$5*SIN(B156)+$B$6*SIN(B156+C156)+$B$7*SIN($B$4*B156)</f>
        <v/>
      </c>
      <c r="F156" t="inlineStr">
        <is>
          <t>Copy x(t), y(t) into SolidWorks Equation Driven Curve</t>
        </is>
      </c>
    </row>
    <row r="157">
      <c r="A157">
        <f>A156+1</f>
        <v/>
      </c>
      <c r="B157">
        <f>RADIANS(A157)</f>
        <v/>
      </c>
      <c r="C157">
        <f>ATAN2(SIN((1-$B$4)*B157),$B$5/($B$7*$B$4)-COS((1-$B$4)*B157))</f>
        <v/>
      </c>
      <c r="D157">
        <f>$B$5*COS(B157)-$B$6*COS(B157+C157)-$B$7*COS($B$4*B157)</f>
        <v/>
      </c>
      <c r="E157">
        <f>-$B$5*SIN(B157)+$B$6*SIN(B157+C157)+$B$7*SIN($B$4*B157)</f>
        <v/>
      </c>
      <c r="F157" t="inlineStr">
        <is>
          <t>Copy x(t), y(t) into SolidWorks Equation Driven Curve</t>
        </is>
      </c>
    </row>
    <row r="158">
      <c r="A158">
        <f>A157+1</f>
        <v/>
      </c>
      <c r="B158">
        <f>RADIANS(A158)</f>
        <v/>
      </c>
      <c r="C158">
        <f>ATAN2(SIN((1-$B$4)*B158),$B$5/($B$7*$B$4)-COS((1-$B$4)*B158))</f>
        <v/>
      </c>
      <c r="D158">
        <f>$B$5*COS(B158)-$B$6*COS(B158+C158)-$B$7*COS($B$4*B158)</f>
        <v/>
      </c>
      <c r="E158">
        <f>-$B$5*SIN(B158)+$B$6*SIN(B158+C158)+$B$7*SIN($B$4*B158)</f>
        <v/>
      </c>
      <c r="F158" t="inlineStr">
        <is>
          <t>Copy x(t), y(t) into SolidWorks Equation Driven Curve</t>
        </is>
      </c>
    </row>
    <row r="159">
      <c r="A159">
        <f>A158+1</f>
        <v/>
      </c>
      <c r="B159">
        <f>RADIANS(A159)</f>
        <v/>
      </c>
      <c r="C159">
        <f>ATAN2(SIN((1-$B$4)*B159),$B$5/($B$7*$B$4)-COS((1-$B$4)*B159))</f>
        <v/>
      </c>
      <c r="D159">
        <f>$B$5*COS(B159)-$B$6*COS(B159+C159)-$B$7*COS($B$4*B159)</f>
        <v/>
      </c>
      <c r="E159">
        <f>-$B$5*SIN(B159)+$B$6*SIN(B159+C159)+$B$7*SIN($B$4*B159)</f>
        <v/>
      </c>
      <c r="F159" t="inlineStr">
        <is>
          <t>Copy x(t), y(t) into SolidWorks Equation Driven Curve</t>
        </is>
      </c>
    </row>
    <row r="160">
      <c r="A160">
        <f>A159+1</f>
        <v/>
      </c>
      <c r="B160">
        <f>RADIANS(A160)</f>
        <v/>
      </c>
      <c r="C160">
        <f>ATAN2(SIN((1-$B$4)*B160),$B$5/($B$7*$B$4)-COS((1-$B$4)*B160))</f>
        <v/>
      </c>
      <c r="D160">
        <f>$B$5*COS(B160)-$B$6*COS(B160+C160)-$B$7*COS($B$4*B160)</f>
        <v/>
      </c>
      <c r="E160">
        <f>-$B$5*SIN(B160)+$B$6*SIN(B160+C160)+$B$7*SIN($B$4*B160)</f>
        <v/>
      </c>
      <c r="F160" t="inlineStr">
        <is>
          <t>Copy x(t), y(t) into SolidWorks Equation Driven Curve</t>
        </is>
      </c>
    </row>
    <row r="161">
      <c r="A161">
        <f>A160+1</f>
        <v/>
      </c>
      <c r="B161">
        <f>RADIANS(A161)</f>
        <v/>
      </c>
      <c r="C161">
        <f>ATAN2(SIN((1-$B$4)*B161),$B$5/($B$7*$B$4)-COS((1-$B$4)*B161))</f>
        <v/>
      </c>
      <c r="D161">
        <f>$B$5*COS(B161)-$B$6*COS(B161+C161)-$B$7*COS($B$4*B161)</f>
        <v/>
      </c>
      <c r="E161">
        <f>-$B$5*SIN(B161)+$B$6*SIN(B161+C161)+$B$7*SIN($B$4*B161)</f>
        <v/>
      </c>
      <c r="F161" t="inlineStr">
        <is>
          <t>Copy x(t), y(t) into SolidWorks Equation Driven Curve</t>
        </is>
      </c>
    </row>
    <row r="162">
      <c r="A162">
        <f>A161+1</f>
        <v/>
      </c>
      <c r="B162">
        <f>RADIANS(A162)</f>
        <v/>
      </c>
      <c r="C162">
        <f>ATAN2(SIN((1-$B$4)*B162),$B$5/($B$7*$B$4)-COS((1-$B$4)*B162))</f>
        <v/>
      </c>
      <c r="D162">
        <f>$B$5*COS(B162)-$B$6*COS(B162+C162)-$B$7*COS($B$4*B162)</f>
        <v/>
      </c>
      <c r="E162">
        <f>-$B$5*SIN(B162)+$B$6*SIN(B162+C162)+$B$7*SIN($B$4*B162)</f>
        <v/>
      </c>
      <c r="F162" t="inlineStr">
        <is>
          <t>Copy x(t), y(t) into SolidWorks Equation Driven Curve</t>
        </is>
      </c>
    </row>
    <row r="163">
      <c r="A163">
        <f>A162+1</f>
        <v/>
      </c>
      <c r="B163">
        <f>RADIANS(A163)</f>
        <v/>
      </c>
      <c r="C163">
        <f>ATAN2(SIN((1-$B$4)*B163),$B$5/($B$7*$B$4)-COS((1-$B$4)*B163))</f>
        <v/>
      </c>
      <c r="D163">
        <f>$B$5*COS(B163)-$B$6*COS(B163+C163)-$B$7*COS($B$4*B163)</f>
        <v/>
      </c>
      <c r="E163">
        <f>-$B$5*SIN(B163)+$B$6*SIN(B163+C163)+$B$7*SIN($B$4*B163)</f>
        <v/>
      </c>
      <c r="F163" t="inlineStr">
        <is>
          <t>Copy x(t), y(t) into SolidWorks Equation Driven Curve</t>
        </is>
      </c>
    </row>
    <row r="164">
      <c r="A164">
        <f>A163+1</f>
        <v/>
      </c>
      <c r="B164">
        <f>RADIANS(A164)</f>
        <v/>
      </c>
      <c r="C164">
        <f>ATAN2(SIN((1-$B$4)*B164),$B$5/($B$7*$B$4)-COS((1-$B$4)*B164))</f>
        <v/>
      </c>
      <c r="D164">
        <f>$B$5*COS(B164)-$B$6*COS(B164+C164)-$B$7*COS($B$4*B164)</f>
        <v/>
      </c>
      <c r="E164">
        <f>-$B$5*SIN(B164)+$B$6*SIN(B164+C164)+$B$7*SIN($B$4*B164)</f>
        <v/>
      </c>
      <c r="F164" t="inlineStr">
        <is>
          <t>Copy x(t), y(t) into SolidWorks Equation Driven Curve</t>
        </is>
      </c>
    </row>
    <row r="165">
      <c r="A165">
        <f>A164+1</f>
        <v/>
      </c>
      <c r="B165">
        <f>RADIANS(A165)</f>
        <v/>
      </c>
      <c r="C165">
        <f>ATAN2(SIN((1-$B$4)*B165),$B$5/($B$7*$B$4)-COS((1-$B$4)*B165))</f>
        <v/>
      </c>
      <c r="D165">
        <f>$B$5*COS(B165)-$B$6*COS(B165+C165)-$B$7*COS($B$4*B165)</f>
        <v/>
      </c>
      <c r="E165">
        <f>-$B$5*SIN(B165)+$B$6*SIN(B165+C165)+$B$7*SIN($B$4*B165)</f>
        <v/>
      </c>
      <c r="F165" t="inlineStr">
        <is>
          <t>Copy x(t), y(t) into SolidWorks Equation Driven Curve</t>
        </is>
      </c>
    </row>
    <row r="166">
      <c r="A166">
        <f>A165+1</f>
        <v/>
      </c>
      <c r="B166">
        <f>RADIANS(A166)</f>
        <v/>
      </c>
      <c r="C166">
        <f>ATAN2(SIN((1-$B$4)*B166),$B$5/($B$7*$B$4)-COS((1-$B$4)*B166))</f>
        <v/>
      </c>
      <c r="D166">
        <f>$B$5*COS(B166)-$B$6*COS(B166+C166)-$B$7*COS($B$4*B166)</f>
        <v/>
      </c>
      <c r="E166">
        <f>-$B$5*SIN(B166)+$B$6*SIN(B166+C166)+$B$7*SIN($B$4*B166)</f>
        <v/>
      </c>
      <c r="F166" t="inlineStr">
        <is>
          <t>Copy x(t), y(t) into SolidWorks Equation Driven Curve</t>
        </is>
      </c>
    </row>
    <row r="167">
      <c r="A167">
        <f>A166+1</f>
        <v/>
      </c>
      <c r="B167">
        <f>RADIANS(A167)</f>
        <v/>
      </c>
      <c r="C167">
        <f>ATAN2(SIN((1-$B$4)*B167),$B$5/($B$7*$B$4)-COS((1-$B$4)*B167))</f>
        <v/>
      </c>
      <c r="D167">
        <f>$B$5*COS(B167)-$B$6*COS(B167+C167)-$B$7*COS($B$4*B167)</f>
        <v/>
      </c>
      <c r="E167">
        <f>-$B$5*SIN(B167)+$B$6*SIN(B167+C167)+$B$7*SIN($B$4*B167)</f>
        <v/>
      </c>
      <c r="F167" t="inlineStr">
        <is>
          <t>Copy x(t), y(t) into SolidWorks Equation Driven Curve</t>
        </is>
      </c>
    </row>
    <row r="168">
      <c r="A168">
        <f>A167+1</f>
        <v/>
      </c>
      <c r="B168">
        <f>RADIANS(A168)</f>
        <v/>
      </c>
      <c r="C168">
        <f>ATAN2(SIN((1-$B$4)*B168),$B$5/($B$7*$B$4)-COS((1-$B$4)*B168))</f>
        <v/>
      </c>
      <c r="D168">
        <f>$B$5*COS(B168)-$B$6*COS(B168+C168)-$B$7*COS($B$4*B168)</f>
        <v/>
      </c>
      <c r="E168">
        <f>-$B$5*SIN(B168)+$B$6*SIN(B168+C168)+$B$7*SIN($B$4*B168)</f>
        <v/>
      </c>
      <c r="F168" t="inlineStr">
        <is>
          <t>Copy x(t), y(t) into SolidWorks Equation Driven Curve</t>
        </is>
      </c>
    </row>
    <row r="169">
      <c r="A169">
        <f>A168+1</f>
        <v/>
      </c>
      <c r="B169">
        <f>RADIANS(A169)</f>
        <v/>
      </c>
      <c r="C169">
        <f>ATAN2(SIN((1-$B$4)*B169),$B$5/($B$7*$B$4)-COS((1-$B$4)*B169))</f>
        <v/>
      </c>
      <c r="D169">
        <f>$B$5*COS(B169)-$B$6*COS(B169+C169)-$B$7*COS($B$4*B169)</f>
        <v/>
      </c>
      <c r="E169">
        <f>-$B$5*SIN(B169)+$B$6*SIN(B169+C169)+$B$7*SIN($B$4*B169)</f>
        <v/>
      </c>
      <c r="F169" t="inlineStr">
        <is>
          <t>Copy x(t), y(t) into SolidWorks Equation Driven Curve</t>
        </is>
      </c>
    </row>
    <row r="170">
      <c r="A170">
        <f>A169+1</f>
        <v/>
      </c>
      <c r="B170">
        <f>RADIANS(A170)</f>
        <v/>
      </c>
      <c r="C170">
        <f>ATAN2(SIN((1-$B$4)*B170),$B$5/($B$7*$B$4)-COS((1-$B$4)*B170))</f>
        <v/>
      </c>
      <c r="D170">
        <f>$B$5*COS(B170)-$B$6*COS(B170+C170)-$B$7*COS($B$4*B170)</f>
        <v/>
      </c>
      <c r="E170">
        <f>-$B$5*SIN(B170)+$B$6*SIN(B170+C170)+$B$7*SIN($B$4*B170)</f>
        <v/>
      </c>
      <c r="F170" t="inlineStr">
        <is>
          <t>Copy x(t), y(t) into SolidWorks Equation Driven Curve</t>
        </is>
      </c>
    </row>
    <row r="171">
      <c r="A171">
        <f>A170+1</f>
        <v/>
      </c>
      <c r="B171">
        <f>RADIANS(A171)</f>
        <v/>
      </c>
      <c r="C171">
        <f>ATAN2(SIN((1-$B$4)*B171),$B$5/($B$7*$B$4)-COS((1-$B$4)*B171))</f>
        <v/>
      </c>
      <c r="D171">
        <f>$B$5*COS(B171)-$B$6*COS(B171+C171)-$B$7*COS($B$4*B171)</f>
        <v/>
      </c>
      <c r="E171">
        <f>-$B$5*SIN(B171)+$B$6*SIN(B171+C171)+$B$7*SIN($B$4*B171)</f>
        <v/>
      </c>
      <c r="F171" t="inlineStr">
        <is>
          <t>Copy x(t), y(t) into SolidWorks Equation Driven Curve</t>
        </is>
      </c>
    </row>
    <row r="172">
      <c r="A172">
        <f>A171+1</f>
        <v/>
      </c>
      <c r="B172">
        <f>RADIANS(A172)</f>
        <v/>
      </c>
      <c r="C172">
        <f>ATAN2(SIN((1-$B$4)*B172),$B$5/($B$7*$B$4)-COS((1-$B$4)*B172))</f>
        <v/>
      </c>
      <c r="D172">
        <f>$B$5*COS(B172)-$B$6*COS(B172+C172)-$B$7*COS($B$4*B172)</f>
        <v/>
      </c>
      <c r="E172">
        <f>-$B$5*SIN(B172)+$B$6*SIN(B172+C172)+$B$7*SIN($B$4*B172)</f>
        <v/>
      </c>
      <c r="F172" t="inlineStr">
        <is>
          <t>Copy x(t), y(t) into SolidWorks Equation Driven Curve</t>
        </is>
      </c>
    </row>
    <row r="173">
      <c r="A173">
        <f>A172+1</f>
        <v/>
      </c>
      <c r="B173">
        <f>RADIANS(A173)</f>
        <v/>
      </c>
      <c r="C173">
        <f>ATAN2(SIN((1-$B$4)*B173),$B$5/($B$7*$B$4)-COS((1-$B$4)*B173))</f>
        <v/>
      </c>
      <c r="D173">
        <f>$B$5*COS(B173)-$B$6*COS(B173+C173)-$B$7*COS($B$4*B173)</f>
        <v/>
      </c>
      <c r="E173">
        <f>-$B$5*SIN(B173)+$B$6*SIN(B173+C173)+$B$7*SIN($B$4*B173)</f>
        <v/>
      </c>
      <c r="F173" t="inlineStr">
        <is>
          <t>Copy x(t), y(t) into SolidWorks Equation Driven Curve</t>
        </is>
      </c>
    </row>
    <row r="174">
      <c r="A174">
        <f>A173+1</f>
        <v/>
      </c>
      <c r="B174">
        <f>RADIANS(A174)</f>
        <v/>
      </c>
      <c r="C174">
        <f>ATAN2(SIN((1-$B$4)*B174),$B$5/($B$7*$B$4)-COS((1-$B$4)*B174))</f>
        <v/>
      </c>
      <c r="D174">
        <f>$B$5*COS(B174)-$B$6*COS(B174+C174)-$B$7*COS($B$4*B174)</f>
        <v/>
      </c>
      <c r="E174">
        <f>-$B$5*SIN(B174)+$B$6*SIN(B174+C174)+$B$7*SIN($B$4*B174)</f>
        <v/>
      </c>
      <c r="F174" t="inlineStr">
        <is>
          <t>Copy x(t), y(t) into SolidWorks Equation Driven Curve</t>
        </is>
      </c>
    </row>
    <row r="175">
      <c r="A175">
        <f>A174+1</f>
        <v/>
      </c>
      <c r="B175">
        <f>RADIANS(A175)</f>
        <v/>
      </c>
      <c r="C175">
        <f>ATAN2(SIN((1-$B$4)*B175),$B$5/($B$7*$B$4)-COS((1-$B$4)*B175))</f>
        <v/>
      </c>
      <c r="D175">
        <f>$B$5*COS(B175)-$B$6*COS(B175+C175)-$B$7*COS($B$4*B175)</f>
        <v/>
      </c>
      <c r="E175">
        <f>-$B$5*SIN(B175)+$B$6*SIN(B175+C175)+$B$7*SIN($B$4*B175)</f>
        <v/>
      </c>
      <c r="F175" t="inlineStr">
        <is>
          <t>Copy x(t), y(t) into SolidWorks Equation Driven Curve</t>
        </is>
      </c>
    </row>
    <row r="176">
      <c r="A176">
        <f>A175+1</f>
        <v/>
      </c>
      <c r="B176">
        <f>RADIANS(A176)</f>
        <v/>
      </c>
      <c r="C176">
        <f>ATAN2(SIN((1-$B$4)*B176),$B$5/($B$7*$B$4)-COS((1-$B$4)*B176))</f>
        <v/>
      </c>
      <c r="D176">
        <f>$B$5*COS(B176)-$B$6*COS(B176+C176)-$B$7*COS($B$4*B176)</f>
        <v/>
      </c>
      <c r="E176">
        <f>-$B$5*SIN(B176)+$B$6*SIN(B176+C176)+$B$7*SIN($B$4*B176)</f>
        <v/>
      </c>
      <c r="F176" t="inlineStr">
        <is>
          <t>Copy x(t), y(t) into SolidWorks Equation Driven Curve</t>
        </is>
      </c>
    </row>
    <row r="177">
      <c r="A177">
        <f>A176+1</f>
        <v/>
      </c>
      <c r="B177">
        <f>RADIANS(A177)</f>
        <v/>
      </c>
      <c r="C177">
        <f>ATAN2(SIN((1-$B$4)*B177),$B$5/($B$7*$B$4)-COS((1-$B$4)*B177))</f>
        <v/>
      </c>
      <c r="D177">
        <f>$B$5*COS(B177)-$B$6*COS(B177+C177)-$B$7*COS($B$4*B177)</f>
        <v/>
      </c>
      <c r="E177">
        <f>-$B$5*SIN(B177)+$B$6*SIN(B177+C177)+$B$7*SIN($B$4*B177)</f>
        <v/>
      </c>
      <c r="F177" t="inlineStr">
        <is>
          <t>Copy x(t), y(t) into SolidWorks Equation Driven Curve</t>
        </is>
      </c>
    </row>
    <row r="178">
      <c r="A178">
        <f>A177+1</f>
        <v/>
      </c>
      <c r="B178">
        <f>RADIANS(A178)</f>
        <v/>
      </c>
      <c r="C178">
        <f>ATAN2(SIN((1-$B$4)*B178),$B$5/($B$7*$B$4)-COS((1-$B$4)*B178))</f>
        <v/>
      </c>
      <c r="D178">
        <f>$B$5*COS(B178)-$B$6*COS(B178+C178)-$B$7*COS($B$4*B178)</f>
        <v/>
      </c>
      <c r="E178">
        <f>-$B$5*SIN(B178)+$B$6*SIN(B178+C178)+$B$7*SIN($B$4*B178)</f>
        <v/>
      </c>
      <c r="F178" t="inlineStr">
        <is>
          <t>Copy x(t), y(t) into SolidWorks Equation Driven Curve</t>
        </is>
      </c>
    </row>
    <row r="179">
      <c r="A179">
        <f>A178+1</f>
        <v/>
      </c>
      <c r="B179">
        <f>RADIANS(A179)</f>
        <v/>
      </c>
      <c r="C179">
        <f>ATAN2(SIN((1-$B$4)*B179),$B$5/($B$7*$B$4)-COS((1-$B$4)*B179))</f>
        <v/>
      </c>
      <c r="D179">
        <f>$B$5*COS(B179)-$B$6*COS(B179+C179)-$B$7*COS($B$4*B179)</f>
        <v/>
      </c>
      <c r="E179">
        <f>-$B$5*SIN(B179)+$B$6*SIN(B179+C179)+$B$7*SIN($B$4*B179)</f>
        <v/>
      </c>
      <c r="F179" t="inlineStr">
        <is>
          <t>Copy x(t), y(t) into SolidWorks Equation Driven Curve</t>
        </is>
      </c>
    </row>
    <row r="180">
      <c r="A180">
        <f>A179+1</f>
        <v/>
      </c>
      <c r="B180">
        <f>RADIANS(A180)</f>
        <v/>
      </c>
      <c r="C180">
        <f>ATAN2(SIN((1-$B$4)*B180),$B$5/($B$7*$B$4)-COS((1-$B$4)*B180))</f>
        <v/>
      </c>
      <c r="D180">
        <f>$B$5*COS(B180)-$B$6*COS(B180+C180)-$B$7*COS($B$4*B180)</f>
        <v/>
      </c>
      <c r="E180">
        <f>-$B$5*SIN(B180)+$B$6*SIN(B180+C180)+$B$7*SIN($B$4*B180)</f>
        <v/>
      </c>
      <c r="F180" t="inlineStr">
        <is>
          <t>Copy x(t), y(t) into SolidWorks Equation Driven Curve</t>
        </is>
      </c>
    </row>
    <row r="181">
      <c r="A181">
        <f>A180+1</f>
        <v/>
      </c>
      <c r="B181">
        <f>RADIANS(A181)</f>
        <v/>
      </c>
      <c r="C181">
        <f>ATAN2(SIN((1-$B$4)*B181),$B$5/($B$7*$B$4)-COS((1-$B$4)*B181))</f>
        <v/>
      </c>
      <c r="D181">
        <f>$B$5*COS(B181)-$B$6*COS(B181+C181)-$B$7*COS($B$4*B181)</f>
        <v/>
      </c>
      <c r="E181">
        <f>-$B$5*SIN(B181)+$B$6*SIN(B181+C181)+$B$7*SIN($B$4*B181)</f>
        <v/>
      </c>
      <c r="F181" t="inlineStr">
        <is>
          <t>Copy x(t), y(t) into SolidWorks Equation Driven Curve</t>
        </is>
      </c>
    </row>
    <row r="182">
      <c r="A182">
        <f>A181+1</f>
        <v/>
      </c>
      <c r="B182">
        <f>RADIANS(A182)</f>
        <v/>
      </c>
      <c r="C182">
        <f>ATAN2(SIN((1-$B$4)*B182),$B$5/($B$7*$B$4)-COS((1-$B$4)*B182))</f>
        <v/>
      </c>
      <c r="D182">
        <f>$B$5*COS(B182)-$B$6*COS(B182+C182)-$B$7*COS($B$4*B182)</f>
        <v/>
      </c>
      <c r="E182">
        <f>-$B$5*SIN(B182)+$B$6*SIN(B182+C182)+$B$7*SIN($B$4*B182)</f>
        <v/>
      </c>
      <c r="F182" t="inlineStr">
        <is>
          <t>Copy x(t), y(t) into SolidWorks Equation Driven Curve</t>
        </is>
      </c>
    </row>
    <row r="183">
      <c r="A183">
        <f>A182+1</f>
        <v/>
      </c>
      <c r="B183">
        <f>RADIANS(A183)</f>
        <v/>
      </c>
      <c r="C183">
        <f>ATAN2(SIN((1-$B$4)*B183),$B$5/($B$7*$B$4)-COS((1-$B$4)*B183))</f>
        <v/>
      </c>
      <c r="D183">
        <f>$B$5*COS(B183)-$B$6*COS(B183+C183)-$B$7*COS($B$4*B183)</f>
        <v/>
      </c>
      <c r="E183">
        <f>-$B$5*SIN(B183)+$B$6*SIN(B183+C183)+$B$7*SIN($B$4*B183)</f>
        <v/>
      </c>
      <c r="F183" t="inlineStr">
        <is>
          <t>Copy x(t), y(t) into SolidWorks Equation Driven Curve</t>
        </is>
      </c>
    </row>
    <row r="184">
      <c r="A184">
        <f>A183+1</f>
        <v/>
      </c>
      <c r="B184">
        <f>RADIANS(A184)</f>
        <v/>
      </c>
      <c r="C184">
        <f>ATAN2(SIN((1-$B$4)*B184),$B$5/($B$7*$B$4)-COS((1-$B$4)*B184))</f>
        <v/>
      </c>
      <c r="D184">
        <f>$B$5*COS(B184)-$B$6*COS(B184+C184)-$B$7*COS($B$4*B184)</f>
        <v/>
      </c>
      <c r="E184">
        <f>-$B$5*SIN(B184)+$B$6*SIN(B184+C184)+$B$7*SIN($B$4*B184)</f>
        <v/>
      </c>
      <c r="F184" t="inlineStr">
        <is>
          <t>Copy x(t), y(t) into SolidWorks Equation Driven Curve</t>
        </is>
      </c>
    </row>
    <row r="185">
      <c r="A185">
        <f>A184+1</f>
        <v/>
      </c>
      <c r="B185">
        <f>RADIANS(A185)</f>
        <v/>
      </c>
      <c r="C185">
        <f>ATAN2(SIN((1-$B$4)*B185),$B$5/($B$7*$B$4)-COS((1-$B$4)*B185))</f>
        <v/>
      </c>
      <c r="D185">
        <f>$B$5*COS(B185)-$B$6*COS(B185+C185)-$B$7*COS($B$4*B185)</f>
        <v/>
      </c>
      <c r="E185">
        <f>-$B$5*SIN(B185)+$B$6*SIN(B185+C185)+$B$7*SIN($B$4*B185)</f>
        <v/>
      </c>
      <c r="F185" t="inlineStr">
        <is>
          <t>Copy x(t), y(t) into SolidWorks Equation Driven Curve</t>
        </is>
      </c>
    </row>
    <row r="186">
      <c r="A186">
        <f>A185+1</f>
        <v/>
      </c>
      <c r="B186">
        <f>RADIANS(A186)</f>
        <v/>
      </c>
      <c r="C186">
        <f>ATAN2(SIN((1-$B$4)*B186),$B$5/($B$7*$B$4)-COS((1-$B$4)*B186))</f>
        <v/>
      </c>
      <c r="D186">
        <f>$B$5*COS(B186)-$B$6*COS(B186+C186)-$B$7*COS($B$4*B186)</f>
        <v/>
      </c>
      <c r="E186">
        <f>-$B$5*SIN(B186)+$B$6*SIN(B186+C186)+$B$7*SIN($B$4*B186)</f>
        <v/>
      </c>
      <c r="F186" t="inlineStr">
        <is>
          <t>Copy x(t), y(t) into SolidWorks Equation Driven Curve</t>
        </is>
      </c>
    </row>
    <row r="187">
      <c r="A187">
        <f>A186+1</f>
        <v/>
      </c>
      <c r="B187">
        <f>RADIANS(A187)</f>
        <v/>
      </c>
      <c r="C187">
        <f>ATAN2(SIN((1-$B$4)*B187),$B$5/($B$7*$B$4)-COS((1-$B$4)*B187))</f>
        <v/>
      </c>
      <c r="D187">
        <f>$B$5*COS(B187)-$B$6*COS(B187+C187)-$B$7*COS($B$4*B187)</f>
        <v/>
      </c>
      <c r="E187">
        <f>-$B$5*SIN(B187)+$B$6*SIN(B187+C187)+$B$7*SIN($B$4*B187)</f>
        <v/>
      </c>
      <c r="F187" t="inlineStr">
        <is>
          <t>Copy x(t), y(t) into SolidWorks Equation Driven Curve</t>
        </is>
      </c>
    </row>
    <row r="188">
      <c r="A188">
        <f>A187+1</f>
        <v/>
      </c>
      <c r="B188">
        <f>RADIANS(A188)</f>
        <v/>
      </c>
      <c r="C188">
        <f>ATAN2(SIN((1-$B$4)*B188),$B$5/($B$7*$B$4)-COS((1-$B$4)*B188))</f>
        <v/>
      </c>
      <c r="D188">
        <f>$B$5*COS(B188)-$B$6*COS(B188+C188)-$B$7*COS($B$4*B188)</f>
        <v/>
      </c>
      <c r="E188">
        <f>-$B$5*SIN(B188)+$B$6*SIN(B188+C188)+$B$7*SIN($B$4*B188)</f>
        <v/>
      </c>
      <c r="F188" t="inlineStr">
        <is>
          <t>Copy x(t), y(t) into SolidWorks Equation Driven Curve</t>
        </is>
      </c>
    </row>
    <row r="189">
      <c r="A189">
        <f>A188+1</f>
        <v/>
      </c>
      <c r="B189">
        <f>RADIANS(A189)</f>
        <v/>
      </c>
      <c r="C189">
        <f>ATAN2(SIN((1-$B$4)*B189),$B$5/($B$7*$B$4)-COS((1-$B$4)*B189))</f>
        <v/>
      </c>
      <c r="D189">
        <f>$B$5*COS(B189)-$B$6*COS(B189+C189)-$B$7*COS($B$4*B189)</f>
        <v/>
      </c>
      <c r="E189">
        <f>-$B$5*SIN(B189)+$B$6*SIN(B189+C189)+$B$7*SIN($B$4*B189)</f>
        <v/>
      </c>
      <c r="F189" t="inlineStr">
        <is>
          <t>Copy x(t), y(t) into SolidWorks Equation Driven Curve</t>
        </is>
      </c>
    </row>
    <row r="190">
      <c r="A190">
        <f>A189+1</f>
        <v/>
      </c>
      <c r="B190">
        <f>RADIANS(A190)</f>
        <v/>
      </c>
      <c r="C190">
        <f>ATAN2(SIN((1-$B$4)*B190),$B$5/($B$7*$B$4)-COS((1-$B$4)*B190))</f>
        <v/>
      </c>
      <c r="D190">
        <f>$B$5*COS(B190)-$B$6*COS(B190+C190)-$B$7*COS($B$4*B190)</f>
        <v/>
      </c>
      <c r="E190">
        <f>-$B$5*SIN(B190)+$B$6*SIN(B190+C190)+$B$7*SIN($B$4*B190)</f>
        <v/>
      </c>
      <c r="F190" t="inlineStr">
        <is>
          <t>Copy x(t), y(t) into SolidWorks Equation Driven Curve</t>
        </is>
      </c>
    </row>
    <row r="191">
      <c r="A191">
        <f>A190+1</f>
        <v/>
      </c>
      <c r="B191">
        <f>RADIANS(A191)</f>
        <v/>
      </c>
      <c r="C191">
        <f>ATAN2(SIN((1-$B$4)*B191),$B$5/($B$7*$B$4)-COS((1-$B$4)*B191))</f>
        <v/>
      </c>
      <c r="D191">
        <f>$B$5*COS(B191)-$B$6*COS(B191+C191)-$B$7*COS($B$4*B191)</f>
        <v/>
      </c>
      <c r="E191">
        <f>-$B$5*SIN(B191)+$B$6*SIN(B191+C191)+$B$7*SIN($B$4*B191)</f>
        <v/>
      </c>
      <c r="F191" t="inlineStr">
        <is>
          <t>Copy x(t), y(t) into SolidWorks Equation Driven Curve</t>
        </is>
      </c>
    </row>
    <row r="192">
      <c r="A192">
        <f>A191+1</f>
        <v/>
      </c>
      <c r="B192">
        <f>RADIANS(A192)</f>
        <v/>
      </c>
      <c r="C192">
        <f>ATAN2(SIN((1-$B$4)*B192),$B$5/($B$7*$B$4)-COS((1-$B$4)*B192))</f>
        <v/>
      </c>
      <c r="D192">
        <f>$B$5*COS(B192)-$B$6*COS(B192+C192)-$B$7*COS($B$4*B192)</f>
        <v/>
      </c>
      <c r="E192">
        <f>-$B$5*SIN(B192)+$B$6*SIN(B192+C192)+$B$7*SIN($B$4*B192)</f>
        <v/>
      </c>
      <c r="F192" t="inlineStr">
        <is>
          <t>Copy x(t), y(t) into SolidWorks Equation Driven Curve</t>
        </is>
      </c>
    </row>
    <row r="193">
      <c r="A193">
        <f>A192+1</f>
        <v/>
      </c>
      <c r="B193">
        <f>RADIANS(A193)</f>
        <v/>
      </c>
      <c r="C193">
        <f>ATAN2(SIN((1-$B$4)*B193),$B$5/($B$7*$B$4)-COS((1-$B$4)*B193))</f>
        <v/>
      </c>
      <c r="D193">
        <f>$B$5*COS(B193)-$B$6*COS(B193+C193)-$B$7*COS($B$4*B193)</f>
        <v/>
      </c>
      <c r="E193">
        <f>-$B$5*SIN(B193)+$B$6*SIN(B193+C193)+$B$7*SIN($B$4*B193)</f>
        <v/>
      </c>
      <c r="F193" t="inlineStr">
        <is>
          <t>Copy x(t), y(t) into SolidWorks Equation Driven Curve</t>
        </is>
      </c>
    </row>
    <row r="194">
      <c r="A194">
        <f>A193+1</f>
        <v/>
      </c>
      <c r="B194">
        <f>RADIANS(A194)</f>
        <v/>
      </c>
      <c r="C194">
        <f>ATAN2(SIN((1-$B$4)*B194),$B$5/($B$7*$B$4)-COS((1-$B$4)*B194))</f>
        <v/>
      </c>
      <c r="D194">
        <f>$B$5*COS(B194)-$B$6*COS(B194+C194)-$B$7*COS($B$4*B194)</f>
        <v/>
      </c>
      <c r="E194">
        <f>-$B$5*SIN(B194)+$B$6*SIN(B194+C194)+$B$7*SIN($B$4*B194)</f>
        <v/>
      </c>
      <c r="F194" t="inlineStr">
        <is>
          <t>Copy x(t), y(t) into SolidWorks Equation Driven Curve</t>
        </is>
      </c>
    </row>
    <row r="195">
      <c r="A195">
        <f>A194+1</f>
        <v/>
      </c>
      <c r="B195">
        <f>RADIANS(A195)</f>
        <v/>
      </c>
      <c r="C195">
        <f>ATAN2(SIN((1-$B$4)*B195),$B$5/($B$7*$B$4)-COS((1-$B$4)*B195))</f>
        <v/>
      </c>
      <c r="D195">
        <f>$B$5*COS(B195)-$B$6*COS(B195+C195)-$B$7*COS($B$4*B195)</f>
        <v/>
      </c>
      <c r="E195">
        <f>-$B$5*SIN(B195)+$B$6*SIN(B195+C195)+$B$7*SIN($B$4*B195)</f>
        <v/>
      </c>
      <c r="F195" t="inlineStr">
        <is>
          <t>Copy x(t), y(t) into SolidWorks Equation Driven Curve</t>
        </is>
      </c>
    </row>
    <row r="196">
      <c r="A196">
        <f>A195+1</f>
        <v/>
      </c>
      <c r="B196">
        <f>RADIANS(A196)</f>
        <v/>
      </c>
      <c r="C196">
        <f>ATAN2(SIN((1-$B$4)*B196),$B$5/($B$7*$B$4)-COS((1-$B$4)*B196))</f>
        <v/>
      </c>
      <c r="D196">
        <f>$B$5*COS(B196)-$B$6*COS(B196+C196)-$B$7*COS($B$4*B196)</f>
        <v/>
      </c>
      <c r="E196">
        <f>-$B$5*SIN(B196)+$B$6*SIN(B196+C196)+$B$7*SIN($B$4*B196)</f>
        <v/>
      </c>
      <c r="F196" t="inlineStr">
        <is>
          <t>Copy x(t), y(t) into SolidWorks Equation Driven Curve</t>
        </is>
      </c>
    </row>
    <row r="197">
      <c r="A197">
        <f>A196+1</f>
        <v/>
      </c>
      <c r="B197">
        <f>RADIANS(A197)</f>
        <v/>
      </c>
      <c r="C197">
        <f>ATAN2(SIN((1-$B$4)*B197),$B$5/($B$7*$B$4)-COS((1-$B$4)*B197))</f>
        <v/>
      </c>
      <c r="D197">
        <f>$B$5*COS(B197)-$B$6*COS(B197+C197)-$B$7*COS($B$4*B197)</f>
        <v/>
      </c>
      <c r="E197">
        <f>-$B$5*SIN(B197)+$B$6*SIN(B197+C197)+$B$7*SIN($B$4*B197)</f>
        <v/>
      </c>
      <c r="F197" t="inlineStr">
        <is>
          <t>Copy x(t), y(t) into SolidWorks Equation Driven Curve</t>
        </is>
      </c>
    </row>
    <row r="198">
      <c r="A198">
        <f>A197+1</f>
        <v/>
      </c>
      <c r="B198">
        <f>RADIANS(A198)</f>
        <v/>
      </c>
      <c r="C198">
        <f>ATAN2(SIN((1-$B$4)*B198),$B$5/($B$7*$B$4)-COS((1-$B$4)*B198))</f>
        <v/>
      </c>
      <c r="D198">
        <f>$B$5*COS(B198)-$B$6*COS(B198+C198)-$B$7*COS($B$4*B198)</f>
        <v/>
      </c>
      <c r="E198">
        <f>-$B$5*SIN(B198)+$B$6*SIN(B198+C198)+$B$7*SIN($B$4*B198)</f>
        <v/>
      </c>
      <c r="F198" t="inlineStr">
        <is>
          <t>Copy x(t), y(t) into SolidWorks Equation Driven Curve</t>
        </is>
      </c>
    </row>
    <row r="199">
      <c r="A199">
        <f>A198+1</f>
        <v/>
      </c>
      <c r="B199">
        <f>RADIANS(A199)</f>
        <v/>
      </c>
      <c r="C199">
        <f>ATAN2(SIN((1-$B$4)*B199),$B$5/($B$7*$B$4)-COS((1-$B$4)*B199))</f>
        <v/>
      </c>
      <c r="D199">
        <f>$B$5*COS(B199)-$B$6*COS(B199+C199)-$B$7*COS($B$4*B199)</f>
        <v/>
      </c>
      <c r="E199">
        <f>-$B$5*SIN(B199)+$B$6*SIN(B199+C199)+$B$7*SIN($B$4*B199)</f>
        <v/>
      </c>
      <c r="F199" t="inlineStr">
        <is>
          <t>Copy x(t), y(t) into SolidWorks Equation Driven Curve</t>
        </is>
      </c>
    </row>
    <row r="200">
      <c r="A200">
        <f>A199+1</f>
        <v/>
      </c>
      <c r="B200">
        <f>RADIANS(A200)</f>
        <v/>
      </c>
      <c r="C200">
        <f>ATAN2(SIN((1-$B$4)*B200),$B$5/($B$7*$B$4)-COS((1-$B$4)*B200))</f>
        <v/>
      </c>
      <c r="D200">
        <f>$B$5*COS(B200)-$B$6*COS(B200+C200)-$B$7*COS($B$4*B200)</f>
        <v/>
      </c>
      <c r="E200">
        <f>-$B$5*SIN(B200)+$B$6*SIN(B200+C200)+$B$7*SIN($B$4*B200)</f>
        <v/>
      </c>
      <c r="F200" t="inlineStr">
        <is>
          <t>Copy x(t), y(t) into SolidWorks Equation Driven Curve</t>
        </is>
      </c>
    </row>
    <row r="201">
      <c r="A201">
        <f>A200+1</f>
        <v/>
      </c>
      <c r="B201">
        <f>RADIANS(A201)</f>
        <v/>
      </c>
      <c r="C201">
        <f>ATAN2(SIN((1-$B$4)*B201),$B$5/($B$7*$B$4)-COS((1-$B$4)*B201))</f>
        <v/>
      </c>
      <c r="D201">
        <f>$B$5*COS(B201)-$B$6*COS(B201+C201)-$B$7*COS($B$4*B201)</f>
        <v/>
      </c>
      <c r="E201">
        <f>-$B$5*SIN(B201)+$B$6*SIN(B201+C201)+$B$7*SIN($B$4*B201)</f>
        <v/>
      </c>
      <c r="F201" t="inlineStr">
        <is>
          <t>Copy x(t), y(t) into SolidWorks Equation Driven Curve</t>
        </is>
      </c>
    </row>
    <row r="202">
      <c r="A202">
        <f>A201+1</f>
        <v/>
      </c>
      <c r="B202">
        <f>RADIANS(A202)</f>
        <v/>
      </c>
      <c r="C202">
        <f>ATAN2(SIN((1-$B$4)*B202),$B$5/($B$7*$B$4)-COS((1-$B$4)*B202))</f>
        <v/>
      </c>
      <c r="D202">
        <f>$B$5*COS(B202)-$B$6*COS(B202+C202)-$B$7*COS($B$4*B202)</f>
        <v/>
      </c>
      <c r="E202">
        <f>-$B$5*SIN(B202)+$B$6*SIN(B202+C202)+$B$7*SIN($B$4*B202)</f>
        <v/>
      </c>
      <c r="F202" t="inlineStr">
        <is>
          <t>Copy x(t), y(t) into SolidWorks Equation Driven Curve</t>
        </is>
      </c>
    </row>
    <row r="203">
      <c r="A203">
        <f>A202+1</f>
        <v/>
      </c>
      <c r="B203">
        <f>RADIANS(A203)</f>
        <v/>
      </c>
      <c r="C203">
        <f>ATAN2(SIN((1-$B$4)*B203),$B$5/($B$7*$B$4)-COS((1-$B$4)*B203))</f>
        <v/>
      </c>
      <c r="D203">
        <f>$B$5*COS(B203)-$B$6*COS(B203+C203)-$B$7*COS($B$4*B203)</f>
        <v/>
      </c>
      <c r="E203">
        <f>-$B$5*SIN(B203)+$B$6*SIN(B203+C203)+$B$7*SIN($B$4*B203)</f>
        <v/>
      </c>
      <c r="F203" t="inlineStr">
        <is>
          <t>Copy x(t), y(t) into SolidWorks Equation Driven Curve</t>
        </is>
      </c>
    </row>
    <row r="204">
      <c r="A204">
        <f>A203+1</f>
        <v/>
      </c>
      <c r="B204">
        <f>RADIANS(A204)</f>
        <v/>
      </c>
      <c r="C204">
        <f>ATAN2(SIN((1-$B$4)*B204),$B$5/($B$7*$B$4)-COS((1-$B$4)*B204))</f>
        <v/>
      </c>
      <c r="D204">
        <f>$B$5*COS(B204)-$B$6*COS(B204+C204)-$B$7*COS($B$4*B204)</f>
        <v/>
      </c>
      <c r="E204">
        <f>-$B$5*SIN(B204)+$B$6*SIN(B204+C204)+$B$7*SIN($B$4*B204)</f>
        <v/>
      </c>
      <c r="F204" t="inlineStr">
        <is>
          <t>Copy x(t), y(t) into SolidWorks Equation Driven Curve</t>
        </is>
      </c>
    </row>
    <row r="205">
      <c r="A205">
        <f>A204+1</f>
        <v/>
      </c>
      <c r="B205">
        <f>RADIANS(A205)</f>
        <v/>
      </c>
      <c r="C205">
        <f>ATAN2(SIN((1-$B$4)*B205),$B$5/($B$7*$B$4)-COS((1-$B$4)*B205))</f>
        <v/>
      </c>
      <c r="D205">
        <f>$B$5*COS(B205)-$B$6*COS(B205+C205)-$B$7*COS($B$4*B205)</f>
        <v/>
      </c>
      <c r="E205">
        <f>-$B$5*SIN(B205)+$B$6*SIN(B205+C205)+$B$7*SIN($B$4*B205)</f>
        <v/>
      </c>
      <c r="F205" t="inlineStr">
        <is>
          <t>Copy x(t), y(t) into SolidWorks Equation Driven Curve</t>
        </is>
      </c>
    </row>
    <row r="206">
      <c r="A206">
        <f>A205+1</f>
        <v/>
      </c>
      <c r="B206">
        <f>RADIANS(A206)</f>
        <v/>
      </c>
      <c r="C206">
        <f>ATAN2(SIN((1-$B$4)*B206),$B$5/($B$7*$B$4)-COS((1-$B$4)*B206))</f>
        <v/>
      </c>
      <c r="D206">
        <f>$B$5*COS(B206)-$B$6*COS(B206+C206)-$B$7*COS($B$4*B206)</f>
        <v/>
      </c>
      <c r="E206">
        <f>-$B$5*SIN(B206)+$B$6*SIN(B206+C206)+$B$7*SIN($B$4*B206)</f>
        <v/>
      </c>
      <c r="F206" t="inlineStr">
        <is>
          <t>Copy x(t), y(t) into SolidWorks Equation Driven Curve</t>
        </is>
      </c>
    </row>
    <row r="207">
      <c r="A207">
        <f>A206+1</f>
        <v/>
      </c>
      <c r="B207">
        <f>RADIANS(A207)</f>
        <v/>
      </c>
      <c r="C207">
        <f>ATAN2(SIN((1-$B$4)*B207),$B$5/($B$7*$B$4)-COS((1-$B$4)*B207))</f>
        <v/>
      </c>
      <c r="D207">
        <f>$B$5*COS(B207)-$B$6*COS(B207+C207)-$B$7*COS($B$4*B207)</f>
        <v/>
      </c>
      <c r="E207">
        <f>-$B$5*SIN(B207)+$B$6*SIN(B207+C207)+$B$7*SIN($B$4*B207)</f>
        <v/>
      </c>
      <c r="F207" t="inlineStr">
        <is>
          <t>Copy x(t), y(t) into SolidWorks Equation Driven Curve</t>
        </is>
      </c>
    </row>
    <row r="208">
      <c r="A208">
        <f>A207+1</f>
        <v/>
      </c>
      <c r="B208">
        <f>RADIANS(A208)</f>
        <v/>
      </c>
      <c r="C208">
        <f>ATAN2(SIN((1-$B$4)*B208),$B$5/($B$7*$B$4)-COS((1-$B$4)*B208))</f>
        <v/>
      </c>
      <c r="D208">
        <f>$B$5*COS(B208)-$B$6*COS(B208+C208)-$B$7*COS($B$4*B208)</f>
        <v/>
      </c>
      <c r="E208">
        <f>-$B$5*SIN(B208)+$B$6*SIN(B208+C208)+$B$7*SIN($B$4*B208)</f>
        <v/>
      </c>
      <c r="F208" t="inlineStr">
        <is>
          <t>Copy x(t), y(t) into SolidWorks Equation Driven Curve</t>
        </is>
      </c>
    </row>
    <row r="209">
      <c r="A209">
        <f>A208+1</f>
        <v/>
      </c>
      <c r="B209">
        <f>RADIANS(A209)</f>
        <v/>
      </c>
      <c r="C209">
        <f>ATAN2(SIN((1-$B$4)*B209),$B$5/($B$7*$B$4)-COS((1-$B$4)*B209))</f>
        <v/>
      </c>
      <c r="D209">
        <f>$B$5*COS(B209)-$B$6*COS(B209+C209)-$B$7*COS($B$4*B209)</f>
        <v/>
      </c>
      <c r="E209">
        <f>-$B$5*SIN(B209)+$B$6*SIN(B209+C209)+$B$7*SIN($B$4*B209)</f>
        <v/>
      </c>
      <c r="F209" t="inlineStr">
        <is>
          <t>Copy x(t), y(t) into SolidWorks Equation Driven Curve</t>
        </is>
      </c>
    </row>
    <row r="210">
      <c r="A210">
        <f>A209+1</f>
        <v/>
      </c>
      <c r="B210">
        <f>RADIANS(A210)</f>
        <v/>
      </c>
      <c r="C210">
        <f>ATAN2(SIN((1-$B$4)*B210),$B$5/($B$7*$B$4)-COS((1-$B$4)*B210))</f>
        <v/>
      </c>
      <c r="D210">
        <f>$B$5*COS(B210)-$B$6*COS(B210+C210)-$B$7*COS($B$4*B210)</f>
        <v/>
      </c>
      <c r="E210">
        <f>-$B$5*SIN(B210)+$B$6*SIN(B210+C210)+$B$7*SIN($B$4*B210)</f>
        <v/>
      </c>
      <c r="F210" t="inlineStr">
        <is>
          <t>Copy x(t), y(t) into SolidWorks Equation Driven Curve</t>
        </is>
      </c>
    </row>
    <row r="211">
      <c r="A211">
        <f>A210+1</f>
        <v/>
      </c>
      <c r="B211">
        <f>RADIANS(A211)</f>
        <v/>
      </c>
      <c r="C211">
        <f>ATAN2(SIN((1-$B$4)*B211),$B$5/($B$7*$B$4)-COS((1-$B$4)*B211))</f>
        <v/>
      </c>
      <c r="D211">
        <f>$B$5*COS(B211)-$B$6*COS(B211+C211)-$B$7*COS($B$4*B211)</f>
        <v/>
      </c>
      <c r="E211">
        <f>-$B$5*SIN(B211)+$B$6*SIN(B211+C211)+$B$7*SIN($B$4*B211)</f>
        <v/>
      </c>
      <c r="F211" t="inlineStr">
        <is>
          <t>Copy x(t), y(t) into SolidWorks Equation Driven Curve</t>
        </is>
      </c>
    </row>
    <row r="212">
      <c r="A212">
        <f>A211+1</f>
        <v/>
      </c>
      <c r="B212">
        <f>RADIANS(A212)</f>
        <v/>
      </c>
      <c r="C212">
        <f>ATAN2(SIN((1-$B$4)*B212),$B$5/($B$7*$B$4)-COS((1-$B$4)*B212))</f>
        <v/>
      </c>
      <c r="D212">
        <f>$B$5*COS(B212)-$B$6*COS(B212+C212)-$B$7*COS($B$4*B212)</f>
        <v/>
      </c>
      <c r="E212">
        <f>-$B$5*SIN(B212)+$B$6*SIN(B212+C212)+$B$7*SIN($B$4*B212)</f>
        <v/>
      </c>
      <c r="F212" t="inlineStr">
        <is>
          <t>Copy x(t), y(t) into SolidWorks Equation Driven Curve</t>
        </is>
      </c>
    </row>
    <row r="213">
      <c r="A213">
        <f>A212+1</f>
        <v/>
      </c>
      <c r="B213">
        <f>RADIANS(A213)</f>
        <v/>
      </c>
      <c r="C213">
        <f>ATAN2(SIN((1-$B$4)*B213),$B$5/($B$7*$B$4)-COS((1-$B$4)*B213))</f>
        <v/>
      </c>
      <c r="D213">
        <f>$B$5*COS(B213)-$B$6*COS(B213+C213)-$B$7*COS($B$4*B213)</f>
        <v/>
      </c>
      <c r="E213">
        <f>-$B$5*SIN(B213)+$B$6*SIN(B213+C213)+$B$7*SIN($B$4*B213)</f>
        <v/>
      </c>
      <c r="F213" t="inlineStr">
        <is>
          <t>Copy x(t), y(t) into SolidWorks Equation Driven Curve</t>
        </is>
      </c>
    </row>
    <row r="214">
      <c r="A214">
        <f>A213+1</f>
        <v/>
      </c>
      <c r="B214">
        <f>RADIANS(A214)</f>
        <v/>
      </c>
      <c r="C214">
        <f>ATAN2(SIN((1-$B$4)*B214),$B$5/($B$7*$B$4)-COS((1-$B$4)*B214))</f>
        <v/>
      </c>
      <c r="D214">
        <f>$B$5*COS(B214)-$B$6*COS(B214+C214)-$B$7*COS($B$4*B214)</f>
        <v/>
      </c>
      <c r="E214">
        <f>-$B$5*SIN(B214)+$B$6*SIN(B214+C214)+$B$7*SIN($B$4*B214)</f>
        <v/>
      </c>
      <c r="F214" t="inlineStr">
        <is>
          <t>Copy x(t), y(t) into SolidWorks Equation Driven Curve</t>
        </is>
      </c>
    </row>
    <row r="215">
      <c r="A215">
        <f>A214+1</f>
        <v/>
      </c>
      <c r="B215">
        <f>RADIANS(A215)</f>
        <v/>
      </c>
      <c r="C215">
        <f>ATAN2(SIN((1-$B$4)*B215),$B$5/($B$7*$B$4)-COS((1-$B$4)*B215))</f>
        <v/>
      </c>
      <c r="D215">
        <f>$B$5*COS(B215)-$B$6*COS(B215+C215)-$B$7*COS($B$4*B215)</f>
        <v/>
      </c>
      <c r="E215">
        <f>-$B$5*SIN(B215)+$B$6*SIN(B215+C215)+$B$7*SIN($B$4*B215)</f>
        <v/>
      </c>
      <c r="F215" t="inlineStr">
        <is>
          <t>Copy x(t), y(t) into SolidWorks Equation Driven Curve</t>
        </is>
      </c>
    </row>
    <row r="216">
      <c r="A216">
        <f>A215+1</f>
        <v/>
      </c>
      <c r="B216">
        <f>RADIANS(A216)</f>
        <v/>
      </c>
      <c r="C216">
        <f>ATAN2(SIN((1-$B$4)*B216),$B$5/($B$7*$B$4)-COS((1-$B$4)*B216))</f>
        <v/>
      </c>
      <c r="D216">
        <f>$B$5*COS(B216)-$B$6*COS(B216+C216)-$B$7*COS($B$4*B216)</f>
        <v/>
      </c>
      <c r="E216">
        <f>-$B$5*SIN(B216)+$B$6*SIN(B216+C216)+$B$7*SIN($B$4*B216)</f>
        <v/>
      </c>
      <c r="F216" t="inlineStr">
        <is>
          <t>Copy x(t), y(t) into SolidWorks Equation Driven Curve</t>
        </is>
      </c>
    </row>
    <row r="217">
      <c r="A217">
        <f>A216+1</f>
        <v/>
      </c>
      <c r="B217">
        <f>RADIANS(A217)</f>
        <v/>
      </c>
      <c r="C217">
        <f>ATAN2(SIN((1-$B$4)*B217),$B$5/($B$7*$B$4)-COS((1-$B$4)*B217))</f>
        <v/>
      </c>
      <c r="D217">
        <f>$B$5*COS(B217)-$B$6*COS(B217+C217)-$B$7*COS($B$4*B217)</f>
        <v/>
      </c>
      <c r="E217">
        <f>-$B$5*SIN(B217)+$B$6*SIN(B217+C217)+$B$7*SIN($B$4*B217)</f>
        <v/>
      </c>
      <c r="F217" t="inlineStr">
        <is>
          <t>Copy x(t), y(t) into SolidWorks Equation Driven Curve</t>
        </is>
      </c>
    </row>
    <row r="218">
      <c r="A218">
        <f>A217+1</f>
        <v/>
      </c>
      <c r="B218">
        <f>RADIANS(A218)</f>
        <v/>
      </c>
      <c r="C218">
        <f>ATAN2(SIN((1-$B$4)*B218),$B$5/($B$7*$B$4)-COS((1-$B$4)*B218))</f>
        <v/>
      </c>
      <c r="D218">
        <f>$B$5*COS(B218)-$B$6*COS(B218+C218)-$B$7*COS($B$4*B218)</f>
        <v/>
      </c>
      <c r="E218">
        <f>-$B$5*SIN(B218)+$B$6*SIN(B218+C218)+$B$7*SIN($B$4*B218)</f>
        <v/>
      </c>
      <c r="F218" t="inlineStr">
        <is>
          <t>Copy x(t), y(t) into SolidWorks Equation Driven Curve</t>
        </is>
      </c>
    </row>
    <row r="219">
      <c r="A219">
        <f>A218+1</f>
        <v/>
      </c>
      <c r="B219">
        <f>RADIANS(A219)</f>
        <v/>
      </c>
      <c r="C219">
        <f>ATAN2(SIN((1-$B$4)*B219),$B$5/($B$7*$B$4)-COS((1-$B$4)*B219))</f>
        <v/>
      </c>
      <c r="D219">
        <f>$B$5*COS(B219)-$B$6*COS(B219+C219)-$B$7*COS($B$4*B219)</f>
        <v/>
      </c>
      <c r="E219">
        <f>-$B$5*SIN(B219)+$B$6*SIN(B219+C219)+$B$7*SIN($B$4*B219)</f>
        <v/>
      </c>
      <c r="F219" t="inlineStr">
        <is>
          <t>Copy x(t), y(t) into SolidWorks Equation Driven Curve</t>
        </is>
      </c>
    </row>
    <row r="220">
      <c r="A220">
        <f>A219+1</f>
        <v/>
      </c>
      <c r="B220">
        <f>RADIANS(A220)</f>
        <v/>
      </c>
      <c r="C220">
        <f>ATAN2(SIN((1-$B$4)*B220),$B$5/($B$7*$B$4)-COS((1-$B$4)*B220))</f>
        <v/>
      </c>
      <c r="D220">
        <f>$B$5*COS(B220)-$B$6*COS(B220+C220)-$B$7*COS($B$4*B220)</f>
        <v/>
      </c>
      <c r="E220">
        <f>-$B$5*SIN(B220)+$B$6*SIN(B220+C220)+$B$7*SIN($B$4*B220)</f>
        <v/>
      </c>
      <c r="F220" t="inlineStr">
        <is>
          <t>Copy x(t), y(t) into SolidWorks Equation Driven Curve</t>
        </is>
      </c>
    </row>
    <row r="221">
      <c r="A221">
        <f>A220+1</f>
        <v/>
      </c>
      <c r="B221">
        <f>RADIANS(A221)</f>
        <v/>
      </c>
      <c r="C221">
        <f>ATAN2(SIN((1-$B$4)*B221),$B$5/($B$7*$B$4)-COS((1-$B$4)*B221))</f>
        <v/>
      </c>
      <c r="D221">
        <f>$B$5*COS(B221)-$B$6*COS(B221+C221)-$B$7*COS($B$4*B221)</f>
        <v/>
      </c>
      <c r="E221">
        <f>-$B$5*SIN(B221)+$B$6*SIN(B221+C221)+$B$7*SIN($B$4*B221)</f>
        <v/>
      </c>
      <c r="F221" t="inlineStr">
        <is>
          <t>Copy x(t), y(t) into SolidWorks Equation Driven Curve</t>
        </is>
      </c>
    </row>
    <row r="222">
      <c r="A222">
        <f>A221+1</f>
        <v/>
      </c>
      <c r="B222">
        <f>RADIANS(A222)</f>
        <v/>
      </c>
      <c r="C222">
        <f>ATAN2(SIN((1-$B$4)*B222),$B$5/($B$7*$B$4)-COS((1-$B$4)*B222))</f>
        <v/>
      </c>
      <c r="D222">
        <f>$B$5*COS(B222)-$B$6*COS(B222+C222)-$B$7*COS($B$4*B222)</f>
        <v/>
      </c>
      <c r="E222">
        <f>-$B$5*SIN(B222)+$B$6*SIN(B222+C222)+$B$7*SIN($B$4*B222)</f>
        <v/>
      </c>
      <c r="F222" t="inlineStr">
        <is>
          <t>Copy x(t), y(t) into SolidWorks Equation Driven Curve</t>
        </is>
      </c>
    </row>
    <row r="223">
      <c r="A223">
        <f>A222+1</f>
        <v/>
      </c>
      <c r="B223">
        <f>RADIANS(A223)</f>
        <v/>
      </c>
      <c r="C223">
        <f>ATAN2(SIN((1-$B$4)*B223),$B$5/($B$7*$B$4)-COS((1-$B$4)*B223))</f>
        <v/>
      </c>
      <c r="D223">
        <f>$B$5*COS(B223)-$B$6*COS(B223+C223)-$B$7*COS($B$4*B223)</f>
        <v/>
      </c>
      <c r="E223">
        <f>-$B$5*SIN(B223)+$B$6*SIN(B223+C223)+$B$7*SIN($B$4*B223)</f>
        <v/>
      </c>
      <c r="F223" t="inlineStr">
        <is>
          <t>Copy x(t), y(t) into SolidWorks Equation Driven Curve</t>
        </is>
      </c>
    </row>
    <row r="224">
      <c r="A224">
        <f>A223+1</f>
        <v/>
      </c>
      <c r="B224">
        <f>RADIANS(A224)</f>
        <v/>
      </c>
      <c r="C224">
        <f>ATAN2(SIN((1-$B$4)*B224),$B$5/($B$7*$B$4)-COS((1-$B$4)*B224))</f>
        <v/>
      </c>
      <c r="D224">
        <f>$B$5*COS(B224)-$B$6*COS(B224+C224)-$B$7*COS($B$4*B224)</f>
        <v/>
      </c>
      <c r="E224">
        <f>-$B$5*SIN(B224)+$B$6*SIN(B224+C224)+$B$7*SIN($B$4*B224)</f>
        <v/>
      </c>
      <c r="F224" t="inlineStr">
        <is>
          <t>Copy x(t), y(t) into SolidWorks Equation Driven Curve</t>
        </is>
      </c>
    </row>
    <row r="225">
      <c r="A225">
        <f>A224+1</f>
        <v/>
      </c>
      <c r="B225">
        <f>RADIANS(A225)</f>
        <v/>
      </c>
      <c r="C225">
        <f>ATAN2(SIN((1-$B$4)*B225),$B$5/($B$7*$B$4)-COS((1-$B$4)*B225))</f>
        <v/>
      </c>
      <c r="D225">
        <f>$B$5*COS(B225)-$B$6*COS(B225+C225)-$B$7*COS($B$4*B225)</f>
        <v/>
      </c>
      <c r="E225">
        <f>-$B$5*SIN(B225)+$B$6*SIN(B225+C225)+$B$7*SIN($B$4*B225)</f>
        <v/>
      </c>
      <c r="F225" t="inlineStr">
        <is>
          <t>Copy x(t), y(t) into SolidWorks Equation Driven Curve</t>
        </is>
      </c>
    </row>
    <row r="226">
      <c r="A226">
        <f>A225+1</f>
        <v/>
      </c>
      <c r="B226">
        <f>RADIANS(A226)</f>
        <v/>
      </c>
      <c r="C226">
        <f>ATAN2(SIN((1-$B$4)*B226),$B$5/($B$7*$B$4)-COS((1-$B$4)*B226))</f>
        <v/>
      </c>
      <c r="D226">
        <f>$B$5*COS(B226)-$B$6*COS(B226+C226)-$B$7*COS($B$4*B226)</f>
        <v/>
      </c>
      <c r="E226">
        <f>-$B$5*SIN(B226)+$B$6*SIN(B226+C226)+$B$7*SIN($B$4*B226)</f>
        <v/>
      </c>
      <c r="F226" t="inlineStr">
        <is>
          <t>Copy x(t), y(t) into SolidWorks Equation Driven Curve</t>
        </is>
      </c>
    </row>
    <row r="227">
      <c r="A227">
        <f>A226+1</f>
        <v/>
      </c>
      <c r="B227">
        <f>RADIANS(A227)</f>
        <v/>
      </c>
      <c r="C227">
        <f>ATAN2(SIN((1-$B$4)*B227),$B$5/($B$7*$B$4)-COS((1-$B$4)*B227))</f>
        <v/>
      </c>
      <c r="D227">
        <f>$B$5*COS(B227)-$B$6*COS(B227+C227)-$B$7*COS($B$4*B227)</f>
        <v/>
      </c>
      <c r="E227">
        <f>-$B$5*SIN(B227)+$B$6*SIN(B227+C227)+$B$7*SIN($B$4*B227)</f>
        <v/>
      </c>
      <c r="F227" t="inlineStr">
        <is>
          <t>Copy x(t), y(t) into SolidWorks Equation Driven Curve</t>
        </is>
      </c>
    </row>
    <row r="228">
      <c r="A228">
        <f>A227+1</f>
        <v/>
      </c>
      <c r="B228">
        <f>RADIANS(A228)</f>
        <v/>
      </c>
      <c r="C228">
        <f>ATAN2(SIN((1-$B$4)*B228),$B$5/($B$7*$B$4)-COS((1-$B$4)*B228))</f>
        <v/>
      </c>
      <c r="D228">
        <f>$B$5*COS(B228)-$B$6*COS(B228+C228)-$B$7*COS($B$4*B228)</f>
        <v/>
      </c>
      <c r="E228">
        <f>-$B$5*SIN(B228)+$B$6*SIN(B228+C228)+$B$7*SIN($B$4*B228)</f>
        <v/>
      </c>
      <c r="F228" t="inlineStr">
        <is>
          <t>Copy x(t), y(t) into SolidWorks Equation Driven Curve</t>
        </is>
      </c>
    </row>
    <row r="229">
      <c r="A229">
        <f>A228+1</f>
        <v/>
      </c>
      <c r="B229">
        <f>RADIANS(A229)</f>
        <v/>
      </c>
      <c r="C229">
        <f>ATAN2(SIN((1-$B$4)*B229),$B$5/($B$7*$B$4)-COS((1-$B$4)*B229))</f>
        <v/>
      </c>
      <c r="D229">
        <f>$B$5*COS(B229)-$B$6*COS(B229+C229)-$B$7*COS($B$4*B229)</f>
        <v/>
      </c>
      <c r="E229">
        <f>-$B$5*SIN(B229)+$B$6*SIN(B229+C229)+$B$7*SIN($B$4*B229)</f>
        <v/>
      </c>
      <c r="F229" t="inlineStr">
        <is>
          <t>Copy x(t), y(t) into SolidWorks Equation Driven Curve</t>
        </is>
      </c>
    </row>
    <row r="230">
      <c r="A230">
        <f>A229+1</f>
        <v/>
      </c>
      <c r="B230">
        <f>RADIANS(A230)</f>
        <v/>
      </c>
      <c r="C230">
        <f>ATAN2(SIN((1-$B$4)*B230),$B$5/($B$7*$B$4)-COS((1-$B$4)*B230))</f>
        <v/>
      </c>
      <c r="D230">
        <f>$B$5*COS(B230)-$B$6*COS(B230+C230)-$B$7*COS($B$4*B230)</f>
        <v/>
      </c>
      <c r="E230">
        <f>-$B$5*SIN(B230)+$B$6*SIN(B230+C230)+$B$7*SIN($B$4*B230)</f>
        <v/>
      </c>
      <c r="F230" t="inlineStr">
        <is>
          <t>Copy x(t), y(t) into SolidWorks Equation Driven Curve</t>
        </is>
      </c>
    </row>
    <row r="231">
      <c r="A231">
        <f>A230+1</f>
        <v/>
      </c>
      <c r="B231">
        <f>RADIANS(A231)</f>
        <v/>
      </c>
      <c r="C231">
        <f>ATAN2(SIN((1-$B$4)*B231),$B$5/($B$7*$B$4)-COS((1-$B$4)*B231))</f>
        <v/>
      </c>
      <c r="D231">
        <f>$B$5*COS(B231)-$B$6*COS(B231+C231)-$B$7*COS($B$4*B231)</f>
        <v/>
      </c>
      <c r="E231">
        <f>-$B$5*SIN(B231)+$B$6*SIN(B231+C231)+$B$7*SIN($B$4*B231)</f>
        <v/>
      </c>
      <c r="F231" t="inlineStr">
        <is>
          <t>Copy x(t), y(t) into SolidWorks Equation Driven Curve</t>
        </is>
      </c>
    </row>
    <row r="232">
      <c r="A232">
        <f>A231+1</f>
        <v/>
      </c>
      <c r="B232">
        <f>RADIANS(A232)</f>
        <v/>
      </c>
      <c r="C232">
        <f>ATAN2(SIN((1-$B$4)*B232),$B$5/($B$7*$B$4)-COS((1-$B$4)*B232))</f>
        <v/>
      </c>
      <c r="D232">
        <f>$B$5*COS(B232)-$B$6*COS(B232+C232)-$B$7*COS($B$4*B232)</f>
        <v/>
      </c>
      <c r="E232">
        <f>-$B$5*SIN(B232)+$B$6*SIN(B232+C232)+$B$7*SIN($B$4*B232)</f>
        <v/>
      </c>
      <c r="F232" t="inlineStr">
        <is>
          <t>Copy x(t), y(t) into SolidWorks Equation Driven Curve</t>
        </is>
      </c>
    </row>
    <row r="233">
      <c r="A233">
        <f>A232+1</f>
        <v/>
      </c>
      <c r="B233">
        <f>RADIANS(A233)</f>
        <v/>
      </c>
      <c r="C233">
        <f>ATAN2(SIN((1-$B$4)*B233),$B$5/($B$7*$B$4)-COS((1-$B$4)*B233))</f>
        <v/>
      </c>
      <c r="D233">
        <f>$B$5*COS(B233)-$B$6*COS(B233+C233)-$B$7*COS($B$4*B233)</f>
        <v/>
      </c>
      <c r="E233">
        <f>-$B$5*SIN(B233)+$B$6*SIN(B233+C233)+$B$7*SIN($B$4*B233)</f>
        <v/>
      </c>
      <c r="F233" t="inlineStr">
        <is>
          <t>Copy x(t), y(t) into SolidWorks Equation Driven Curve</t>
        </is>
      </c>
    </row>
    <row r="234">
      <c r="A234">
        <f>A233+1</f>
        <v/>
      </c>
      <c r="B234">
        <f>RADIANS(A234)</f>
        <v/>
      </c>
      <c r="C234">
        <f>ATAN2(SIN((1-$B$4)*B234),$B$5/($B$7*$B$4)-COS((1-$B$4)*B234))</f>
        <v/>
      </c>
      <c r="D234">
        <f>$B$5*COS(B234)-$B$6*COS(B234+C234)-$B$7*COS($B$4*B234)</f>
        <v/>
      </c>
      <c r="E234">
        <f>-$B$5*SIN(B234)+$B$6*SIN(B234+C234)+$B$7*SIN($B$4*B234)</f>
        <v/>
      </c>
      <c r="F234" t="inlineStr">
        <is>
          <t>Copy x(t), y(t) into SolidWorks Equation Driven Curve</t>
        </is>
      </c>
    </row>
    <row r="235">
      <c r="A235">
        <f>A234+1</f>
        <v/>
      </c>
      <c r="B235">
        <f>RADIANS(A235)</f>
        <v/>
      </c>
      <c r="C235">
        <f>ATAN2(SIN((1-$B$4)*B235),$B$5/($B$7*$B$4)-COS((1-$B$4)*B235))</f>
        <v/>
      </c>
      <c r="D235">
        <f>$B$5*COS(B235)-$B$6*COS(B235+C235)-$B$7*COS($B$4*B235)</f>
        <v/>
      </c>
      <c r="E235">
        <f>-$B$5*SIN(B235)+$B$6*SIN(B235+C235)+$B$7*SIN($B$4*B235)</f>
        <v/>
      </c>
      <c r="F235" t="inlineStr">
        <is>
          <t>Copy x(t), y(t) into SolidWorks Equation Driven Curve</t>
        </is>
      </c>
    </row>
    <row r="236">
      <c r="A236">
        <f>A235+1</f>
        <v/>
      </c>
      <c r="B236">
        <f>RADIANS(A236)</f>
        <v/>
      </c>
      <c r="C236">
        <f>ATAN2(SIN((1-$B$4)*B236),$B$5/($B$7*$B$4)-COS((1-$B$4)*B236))</f>
        <v/>
      </c>
      <c r="D236">
        <f>$B$5*COS(B236)-$B$6*COS(B236+C236)-$B$7*COS($B$4*B236)</f>
        <v/>
      </c>
      <c r="E236">
        <f>-$B$5*SIN(B236)+$B$6*SIN(B236+C236)+$B$7*SIN($B$4*B236)</f>
        <v/>
      </c>
      <c r="F236" t="inlineStr">
        <is>
          <t>Copy x(t), y(t) into SolidWorks Equation Driven Curve</t>
        </is>
      </c>
    </row>
    <row r="237">
      <c r="A237">
        <f>A236+1</f>
        <v/>
      </c>
      <c r="B237">
        <f>RADIANS(A237)</f>
        <v/>
      </c>
      <c r="C237">
        <f>ATAN2(SIN((1-$B$4)*B237),$B$5/($B$7*$B$4)-COS((1-$B$4)*B237))</f>
        <v/>
      </c>
      <c r="D237">
        <f>$B$5*COS(B237)-$B$6*COS(B237+C237)-$B$7*COS($B$4*B237)</f>
        <v/>
      </c>
      <c r="E237">
        <f>-$B$5*SIN(B237)+$B$6*SIN(B237+C237)+$B$7*SIN($B$4*B237)</f>
        <v/>
      </c>
      <c r="F237" t="inlineStr">
        <is>
          <t>Copy x(t), y(t) into SolidWorks Equation Driven Curve</t>
        </is>
      </c>
    </row>
    <row r="238">
      <c r="A238">
        <f>A237+1</f>
        <v/>
      </c>
      <c r="B238">
        <f>RADIANS(A238)</f>
        <v/>
      </c>
      <c r="C238">
        <f>ATAN2(SIN((1-$B$4)*B238),$B$5/($B$7*$B$4)-COS((1-$B$4)*B238))</f>
        <v/>
      </c>
      <c r="D238">
        <f>$B$5*COS(B238)-$B$6*COS(B238+C238)-$B$7*COS($B$4*B238)</f>
        <v/>
      </c>
      <c r="E238">
        <f>-$B$5*SIN(B238)+$B$6*SIN(B238+C238)+$B$7*SIN($B$4*B238)</f>
        <v/>
      </c>
      <c r="F238" t="inlineStr">
        <is>
          <t>Copy x(t), y(t) into SolidWorks Equation Driven Curve</t>
        </is>
      </c>
    </row>
    <row r="239">
      <c r="A239">
        <f>A238+1</f>
        <v/>
      </c>
      <c r="B239">
        <f>RADIANS(A239)</f>
        <v/>
      </c>
      <c r="C239">
        <f>ATAN2(SIN((1-$B$4)*B239),$B$5/($B$7*$B$4)-COS((1-$B$4)*B239))</f>
        <v/>
      </c>
      <c r="D239">
        <f>$B$5*COS(B239)-$B$6*COS(B239+C239)-$B$7*COS($B$4*B239)</f>
        <v/>
      </c>
      <c r="E239">
        <f>-$B$5*SIN(B239)+$B$6*SIN(B239+C239)+$B$7*SIN($B$4*B239)</f>
        <v/>
      </c>
      <c r="F239" t="inlineStr">
        <is>
          <t>Copy x(t), y(t) into SolidWorks Equation Driven Curve</t>
        </is>
      </c>
    </row>
    <row r="240">
      <c r="A240">
        <f>A239+1</f>
        <v/>
      </c>
      <c r="B240">
        <f>RADIANS(A240)</f>
        <v/>
      </c>
      <c r="C240">
        <f>ATAN2(SIN((1-$B$4)*B240),$B$5/($B$7*$B$4)-COS((1-$B$4)*B240))</f>
        <v/>
      </c>
      <c r="D240">
        <f>$B$5*COS(B240)-$B$6*COS(B240+C240)-$B$7*COS($B$4*B240)</f>
        <v/>
      </c>
      <c r="E240">
        <f>-$B$5*SIN(B240)+$B$6*SIN(B240+C240)+$B$7*SIN($B$4*B240)</f>
        <v/>
      </c>
      <c r="F240" t="inlineStr">
        <is>
          <t>Copy x(t), y(t) into SolidWorks Equation Driven Curve</t>
        </is>
      </c>
    </row>
    <row r="241">
      <c r="A241">
        <f>A240+1</f>
        <v/>
      </c>
      <c r="B241">
        <f>RADIANS(A241)</f>
        <v/>
      </c>
      <c r="C241">
        <f>ATAN2(SIN((1-$B$4)*B241),$B$5/($B$7*$B$4)-COS((1-$B$4)*B241))</f>
        <v/>
      </c>
      <c r="D241">
        <f>$B$5*COS(B241)-$B$6*COS(B241+C241)-$B$7*COS($B$4*B241)</f>
        <v/>
      </c>
      <c r="E241">
        <f>-$B$5*SIN(B241)+$B$6*SIN(B241+C241)+$B$7*SIN($B$4*B241)</f>
        <v/>
      </c>
      <c r="F241" t="inlineStr">
        <is>
          <t>Copy x(t), y(t) into SolidWorks Equation Driven Curve</t>
        </is>
      </c>
    </row>
    <row r="242">
      <c r="A242">
        <f>A241+1</f>
        <v/>
      </c>
      <c r="B242">
        <f>RADIANS(A242)</f>
        <v/>
      </c>
      <c r="C242">
        <f>ATAN2(SIN((1-$B$4)*B242),$B$5/($B$7*$B$4)-COS((1-$B$4)*B242))</f>
        <v/>
      </c>
      <c r="D242">
        <f>$B$5*COS(B242)-$B$6*COS(B242+C242)-$B$7*COS($B$4*B242)</f>
        <v/>
      </c>
      <c r="E242">
        <f>-$B$5*SIN(B242)+$B$6*SIN(B242+C242)+$B$7*SIN($B$4*B242)</f>
        <v/>
      </c>
      <c r="F242" t="inlineStr">
        <is>
          <t>Copy x(t), y(t) into SolidWorks Equation Driven Curve</t>
        </is>
      </c>
    </row>
    <row r="243">
      <c r="A243">
        <f>A242+1</f>
        <v/>
      </c>
      <c r="B243">
        <f>RADIANS(A243)</f>
        <v/>
      </c>
      <c r="C243">
        <f>ATAN2(SIN((1-$B$4)*B243),$B$5/($B$7*$B$4)-COS((1-$B$4)*B243))</f>
        <v/>
      </c>
      <c r="D243">
        <f>$B$5*COS(B243)-$B$6*COS(B243+C243)-$B$7*COS($B$4*B243)</f>
        <v/>
      </c>
      <c r="E243">
        <f>-$B$5*SIN(B243)+$B$6*SIN(B243+C243)+$B$7*SIN($B$4*B243)</f>
        <v/>
      </c>
      <c r="F243" t="inlineStr">
        <is>
          <t>Copy x(t), y(t) into SolidWorks Equation Driven Curve</t>
        </is>
      </c>
    </row>
    <row r="244">
      <c r="A244">
        <f>A243+1</f>
        <v/>
      </c>
      <c r="B244">
        <f>RADIANS(A244)</f>
        <v/>
      </c>
      <c r="C244">
        <f>ATAN2(SIN((1-$B$4)*B244),$B$5/($B$7*$B$4)-COS((1-$B$4)*B244))</f>
        <v/>
      </c>
      <c r="D244">
        <f>$B$5*COS(B244)-$B$6*COS(B244+C244)-$B$7*COS($B$4*B244)</f>
        <v/>
      </c>
      <c r="E244">
        <f>-$B$5*SIN(B244)+$B$6*SIN(B244+C244)+$B$7*SIN($B$4*B244)</f>
        <v/>
      </c>
      <c r="F244" t="inlineStr">
        <is>
          <t>Copy x(t), y(t) into SolidWorks Equation Driven Curve</t>
        </is>
      </c>
    </row>
    <row r="245">
      <c r="A245">
        <f>A244+1</f>
        <v/>
      </c>
      <c r="B245">
        <f>RADIANS(A245)</f>
        <v/>
      </c>
      <c r="C245">
        <f>ATAN2(SIN((1-$B$4)*B245),$B$5/($B$7*$B$4)-COS((1-$B$4)*B245))</f>
        <v/>
      </c>
      <c r="D245">
        <f>$B$5*COS(B245)-$B$6*COS(B245+C245)-$B$7*COS($B$4*B245)</f>
        <v/>
      </c>
      <c r="E245">
        <f>-$B$5*SIN(B245)+$B$6*SIN(B245+C245)+$B$7*SIN($B$4*B245)</f>
        <v/>
      </c>
      <c r="F245" t="inlineStr">
        <is>
          <t>Copy x(t), y(t) into SolidWorks Equation Driven Curve</t>
        </is>
      </c>
    </row>
    <row r="246">
      <c r="A246">
        <f>A245+1</f>
        <v/>
      </c>
      <c r="B246">
        <f>RADIANS(A246)</f>
        <v/>
      </c>
      <c r="C246">
        <f>ATAN2(SIN((1-$B$4)*B246),$B$5/($B$7*$B$4)-COS((1-$B$4)*B246))</f>
        <v/>
      </c>
      <c r="D246">
        <f>$B$5*COS(B246)-$B$6*COS(B246+C246)-$B$7*COS($B$4*B246)</f>
        <v/>
      </c>
      <c r="E246">
        <f>-$B$5*SIN(B246)+$B$6*SIN(B246+C246)+$B$7*SIN($B$4*B246)</f>
        <v/>
      </c>
      <c r="F246" t="inlineStr">
        <is>
          <t>Copy x(t), y(t) into SolidWorks Equation Driven Curve</t>
        </is>
      </c>
    </row>
    <row r="247">
      <c r="A247">
        <f>A246+1</f>
        <v/>
      </c>
      <c r="B247">
        <f>RADIANS(A247)</f>
        <v/>
      </c>
      <c r="C247">
        <f>ATAN2(SIN((1-$B$4)*B247),$B$5/($B$7*$B$4)-COS((1-$B$4)*B247))</f>
        <v/>
      </c>
      <c r="D247">
        <f>$B$5*COS(B247)-$B$6*COS(B247+C247)-$B$7*COS($B$4*B247)</f>
        <v/>
      </c>
      <c r="E247">
        <f>-$B$5*SIN(B247)+$B$6*SIN(B247+C247)+$B$7*SIN($B$4*B247)</f>
        <v/>
      </c>
      <c r="F247" t="inlineStr">
        <is>
          <t>Copy x(t), y(t) into SolidWorks Equation Driven Curve</t>
        </is>
      </c>
    </row>
    <row r="248">
      <c r="A248">
        <f>A247+1</f>
        <v/>
      </c>
      <c r="B248">
        <f>RADIANS(A248)</f>
        <v/>
      </c>
      <c r="C248">
        <f>ATAN2(SIN((1-$B$4)*B248),$B$5/($B$7*$B$4)-COS((1-$B$4)*B248))</f>
        <v/>
      </c>
      <c r="D248">
        <f>$B$5*COS(B248)-$B$6*COS(B248+C248)-$B$7*COS($B$4*B248)</f>
        <v/>
      </c>
      <c r="E248">
        <f>-$B$5*SIN(B248)+$B$6*SIN(B248+C248)+$B$7*SIN($B$4*B248)</f>
        <v/>
      </c>
      <c r="F248" t="inlineStr">
        <is>
          <t>Copy x(t), y(t) into SolidWorks Equation Driven Curve</t>
        </is>
      </c>
    </row>
    <row r="249">
      <c r="A249">
        <f>A248+1</f>
        <v/>
      </c>
      <c r="B249">
        <f>RADIANS(A249)</f>
        <v/>
      </c>
      <c r="C249">
        <f>ATAN2(SIN((1-$B$4)*B249),$B$5/($B$7*$B$4)-COS((1-$B$4)*B249))</f>
        <v/>
      </c>
      <c r="D249">
        <f>$B$5*COS(B249)-$B$6*COS(B249+C249)-$B$7*COS($B$4*B249)</f>
        <v/>
      </c>
      <c r="E249">
        <f>-$B$5*SIN(B249)+$B$6*SIN(B249+C249)+$B$7*SIN($B$4*B249)</f>
        <v/>
      </c>
      <c r="F249" t="inlineStr">
        <is>
          <t>Copy x(t), y(t) into SolidWorks Equation Driven Curve</t>
        </is>
      </c>
    </row>
    <row r="250">
      <c r="A250">
        <f>A249+1</f>
        <v/>
      </c>
      <c r="B250">
        <f>RADIANS(A250)</f>
        <v/>
      </c>
      <c r="C250">
        <f>ATAN2(SIN((1-$B$4)*B250),$B$5/($B$7*$B$4)-COS((1-$B$4)*B250))</f>
        <v/>
      </c>
      <c r="D250">
        <f>$B$5*COS(B250)-$B$6*COS(B250+C250)-$B$7*COS($B$4*B250)</f>
        <v/>
      </c>
      <c r="E250">
        <f>-$B$5*SIN(B250)+$B$6*SIN(B250+C250)+$B$7*SIN($B$4*B250)</f>
        <v/>
      </c>
      <c r="F250" t="inlineStr">
        <is>
          <t>Copy x(t), y(t) into SolidWorks Equation Driven Curve</t>
        </is>
      </c>
    </row>
    <row r="251">
      <c r="A251">
        <f>A250+1</f>
        <v/>
      </c>
      <c r="B251">
        <f>RADIANS(A251)</f>
        <v/>
      </c>
      <c r="C251">
        <f>ATAN2(SIN((1-$B$4)*B251),$B$5/($B$7*$B$4)-COS((1-$B$4)*B251))</f>
        <v/>
      </c>
      <c r="D251">
        <f>$B$5*COS(B251)-$B$6*COS(B251+C251)-$B$7*COS($B$4*B251)</f>
        <v/>
      </c>
      <c r="E251">
        <f>-$B$5*SIN(B251)+$B$6*SIN(B251+C251)+$B$7*SIN($B$4*B251)</f>
        <v/>
      </c>
      <c r="F251" t="inlineStr">
        <is>
          <t>Copy x(t), y(t) into SolidWorks Equation Driven Curve</t>
        </is>
      </c>
    </row>
    <row r="252">
      <c r="A252">
        <f>A251+1</f>
        <v/>
      </c>
      <c r="B252">
        <f>RADIANS(A252)</f>
        <v/>
      </c>
      <c r="C252">
        <f>ATAN2(SIN((1-$B$4)*B252),$B$5/($B$7*$B$4)-COS((1-$B$4)*B252))</f>
        <v/>
      </c>
      <c r="D252">
        <f>$B$5*COS(B252)-$B$6*COS(B252+C252)-$B$7*COS($B$4*B252)</f>
        <v/>
      </c>
      <c r="E252">
        <f>-$B$5*SIN(B252)+$B$6*SIN(B252+C252)+$B$7*SIN($B$4*B252)</f>
        <v/>
      </c>
      <c r="F252" t="inlineStr">
        <is>
          <t>Copy x(t), y(t) into SolidWorks Equation Driven Curve</t>
        </is>
      </c>
    </row>
    <row r="253">
      <c r="A253">
        <f>A252+1</f>
        <v/>
      </c>
      <c r="B253">
        <f>RADIANS(A253)</f>
        <v/>
      </c>
      <c r="C253">
        <f>ATAN2(SIN((1-$B$4)*B253),$B$5/($B$7*$B$4)-COS((1-$B$4)*B253))</f>
        <v/>
      </c>
      <c r="D253">
        <f>$B$5*COS(B253)-$B$6*COS(B253+C253)-$B$7*COS($B$4*B253)</f>
        <v/>
      </c>
      <c r="E253">
        <f>-$B$5*SIN(B253)+$B$6*SIN(B253+C253)+$B$7*SIN($B$4*B253)</f>
        <v/>
      </c>
      <c r="F253" t="inlineStr">
        <is>
          <t>Copy x(t), y(t) into SolidWorks Equation Driven Curve</t>
        </is>
      </c>
    </row>
    <row r="254">
      <c r="A254">
        <f>A253+1</f>
        <v/>
      </c>
      <c r="B254">
        <f>RADIANS(A254)</f>
        <v/>
      </c>
      <c r="C254">
        <f>ATAN2(SIN((1-$B$4)*B254),$B$5/($B$7*$B$4)-COS((1-$B$4)*B254))</f>
        <v/>
      </c>
      <c r="D254">
        <f>$B$5*COS(B254)-$B$6*COS(B254+C254)-$B$7*COS($B$4*B254)</f>
        <v/>
      </c>
      <c r="E254">
        <f>-$B$5*SIN(B254)+$B$6*SIN(B254+C254)+$B$7*SIN($B$4*B254)</f>
        <v/>
      </c>
      <c r="F254" t="inlineStr">
        <is>
          <t>Copy x(t), y(t) into SolidWorks Equation Driven Curve</t>
        </is>
      </c>
    </row>
    <row r="255">
      <c r="A255">
        <f>A254+1</f>
        <v/>
      </c>
      <c r="B255">
        <f>RADIANS(A255)</f>
        <v/>
      </c>
      <c r="C255">
        <f>ATAN2(SIN((1-$B$4)*B255),$B$5/($B$7*$B$4)-COS((1-$B$4)*B255))</f>
        <v/>
      </c>
      <c r="D255">
        <f>$B$5*COS(B255)-$B$6*COS(B255+C255)-$B$7*COS($B$4*B255)</f>
        <v/>
      </c>
      <c r="E255">
        <f>-$B$5*SIN(B255)+$B$6*SIN(B255+C255)+$B$7*SIN($B$4*B255)</f>
        <v/>
      </c>
      <c r="F255" t="inlineStr">
        <is>
          <t>Copy x(t), y(t) into SolidWorks Equation Driven Curve</t>
        </is>
      </c>
    </row>
    <row r="256">
      <c r="A256">
        <f>A255+1</f>
        <v/>
      </c>
      <c r="B256">
        <f>RADIANS(A256)</f>
        <v/>
      </c>
      <c r="C256">
        <f>ATAN2(SIN((1-$B$4)*B256),$B$5/($B$7*$B$4)-COS((1-$B$4)*B256))</f>
        <v/>
      </c>
      <c r="D256">
        <f>$B$5*COS(B256)-$B$6*COS(B256+C256)-$B$7*COS($B$4*B256)</f>
        <v/>
      </c>
      <c r="E256">
        <f>-$B$5*SIN(B256)+$B$6*SIN(B256+C256)+$B$7*SIN($B$4*B256)</f>
        <v/>
      </c>
      <c r="F256" t="inlineStr">
        <is>
          <t>Copy x(t), y(t) into SolidWorks Equation Driven Curve</t>
        </is>
      </c>
    </row>
    <row r="257">
      <c r="A257">
        <f>A256+1</f>
        <v/>
      </c>
      <c r="B257">
        <f>RADIANS(A257)</f>
        <v/>
      </c>
      <c r="C257">
        <f>ATAN2(SIN((1-$B$4)*B257),$B$5/($B$7*$B$4)-COS((1-$B$4)*B257))</f>
        <v/>
      </c>
      <c r="D257">
        <f>$B$5*COS(B257)-$B$6*COS(B257+C257)-$B$7*COS($B$4*B257)</f>
        <v/>
      </c>
      <c r="E257">
        <f>-$B$5*SIN(B257)+$B$6*SIN(B257+C257)+$B$7*SIN($B$4*B257)</f>
        <v/>
      </c>
      <c r="F257" t="inlineStr">
        <is>
          <t>Copy x(t), y(t) into SolidWorks Equation Driven Curve</t>
        </is>
      </c>
    </row>
    <row r="258">
      <c r="A258">
        <f>A257+1</f>
        <v/>
      </c>
      <c r="B258">
        <f>RADIANS(A258)</f>
        <v/>
      </c>
      <c r="C258">
        <f>ATAN2(SIN((1-$B$4)*B258),$B$5/($B$7*$B$4)-COS((1-$B$4)*B258))</f>
        <v/>
      </c>
      <c r="D258">
        <f>$B$5*COS(B258)-$B$6*COS(B258+C258)-$B$7*COS($B$4*B258)</f>
        <v/>
      </c>
      <c r="E258">
        <f>-$B$5*SIN(B258)+$B$6*SIN(B258+C258)+$B$7*SIN($B$4*B258)</f>
        <v/>
      </c>
      <c r="F258" t="inlineStr">
        <is>
          <t>Copy x(t), y(t) into SolidWorks Equation Driven Curve</t>
        </is>
      </c>
    </row>
    <row r="259">
      <c r="A259">
        <f>A258+1</f>
        <v/>
      </c>
      <c r="B259">
        <f>RADIANS(A259)</f>
        <v/>
      </c>
      <c r="C259">
        <f>ATAN2(SIN((1-$B$4)*B259),$B$5/($B$7*$B$4)-COS((1-$B$4)*B259))</f>
        <v/>
      </c>
      <c r="D259">
        <f>$B$5*COS(B259)-$B$6*COS(B259+C259)-$B$7*COS($B$4*B259)</f>
        <v/>
      </c>
      <c r="E259">
        <f>-$B$5*SIN(B259)+$B$6*SIN(B259+C259)+$B$7*SIN($B$4*B259)</f>
        <v/>
      </c>
      <c r="F259" t="inlineStr">
        <is>
          <t>Copy x(t), y(t) into SolidWorks Equation Driven Curve</t>
        </is>
      </c>
    </row>
    <row r="260">
      <c r="A260">
        <f>A259+1</f>
        <v/>
      </c>
      <c r="B260">
        <f>RADIANS(A260)</f>
        <v/>
      </c>
      <c r="C260">
        <f>ATAN2(SIN((1-$B$4)*B260),$B$5/($B$7*$B$4)-COS((1-$B$4)*B260))</f>
        <v/>
      </c>
      <c r="D260">
        <f>$B$5*COS(B260)-$B$6*COS(B260+C260)-$B$7*COS($B$4*B260)</f>
        <v/>
      </c>
      <c r="E260">
        <f>-$B$5*SIN(B260)+$B$6*SIN(B260+C260)+$B$7*SIN($B$4*B260)</f>
        <v/>
      </c>
      <c r="F260" t="inlineStr">
        <is>
          <t>Copy x(t), y(t) into SolidWorks Equation Driven Curve</t>
        </is>
      </c>
    </row>
    <row r="261">
      <c r="A261">
        <f>A260+1</f>
        <v/>
      </c>
      <c r="B261">
        <f>RADIANS(A261)</f>
        <v/>
      </c>
      <c r="C261">
        <f>ATAN2(SIN((1-$B$4)*B261),$B$5/($B$7*$B$4)-COS((1-$B$4)*B261))</f>
        <v/>
      </c>
      <c r="D261">
        <f>$B$5*COS(B261)-$B$6*COS(B261+C261)-$B$7*COS($B$4*B261)</f>
        <v/>
      </c>
      <c r="E261">
        <f>-$B$5*SIN(B261)+$B$6*SIN(B261+C261)+$B$7*SIN($B$4*B261)</f>
        <v/>
      </c>
      <c r="F261" t="inlineStr">
        <is>
          <t>Copy x(t), y(t) into SolidWorks Equation Driven Curve</t>
        </is>
      </c>
    </row>
    <row r="262">
      <c r="A262">
        <f>A261+1</f>
        <v/>
      </c>
      <c r="B262">
        <f>RADIANS(A262)</f>
        <v/>
      </c>
      <c r="C262">
        <f>ATAN2(SIN((1-$B$4)*B262),$B$5/($B$7*$B$4)-COS((1-$B$4)*B262))</f>
        <v/>
      </c>
      <c r="D262">
        <f>$B$5*COS(B262)-$B$6*COS(B262+C262)-$B$7*COS($B$4*B262)</f>
        <v/>
      </c>
      <c r="E262">
        <f>-$B$5*SIN(B262)+$B$6*SIN(B262+C262)+$B$7*SIN($B$4*B262)</f>
        <v/>
      </c>
      <c r="F262" t="inlineStr">
        <is>
          <t>Copy x(t), y(t) into SolidWorks Equation Driven Curve</t>
        </is>
      </c>
    </row>
    <row r="263">
      <c r="A263">
        <f>A262+1</f>
        <v/>
      </c>
      <c r="B263">
        <f>RADIANS(A263)</f>
        <v/>
      </c>
      <c r="C263">
        <f>ATAN2(SIN((1-$B$4)*B263),$B$5/($B$7*$B$4)-COS((1-$B$4)*B263))</f>
        <v/>
      </c>
      <c r="D263">
        <f>$B$5*COS(B263)-$B$6*COS(B263+C263)-$B$7*COS($B$4*B263)</f>
        <v/>
      </c>
      <c r="E263">
        <f>-$B$5*SIN(B263)+$B$6*SIN(B263+C263)+$B$7*SIN($B$4*B263)</f>
        <v/>
      </c>
      <c r="F263" t="inlineStr">
        <is>
          <t>Copy x(t), y(t) into SolidWorks Equation Driven Curve</t>
        </is>
      </c>
    </row>
    <row r="264">
      <c r="A264">
        <f>A263+1</f>
        <v/>
      </c>
      <c r="B264">
        <f>RADIANS(A264)</f>
        <v/>
      </c>
      <c r="C264">
        <f>ATAN2(SIN((1-$B$4)*B264),$B$5/($B$7*$B$4)-COS((1-$B$4)*B264))</f>
        <v/>
      </c>
      <c r="D264">
        <f>$B$5*COS(B264)-$B$6*COS(B264+C264)-$B$7*COS($B$4*B264)</f>
        <v/>
      </c>
      <c r="E264">
        <f>-$B$5*SIN(B264)+$B$6*SIN(B264+C264)+$B$7*SIN($B$4*B264)</f>
        <v/>
      </c>
      <c r="F264" t="inlineStr">
        <is>
          <t>Copy x(t), y(t) into SolidWorks Equation Driven Curve</t>
        </is>
      </c>
    </row>
    <row r="265">
      <c r="A265">
        <f>A264+1</f>
        <v/>
      </c>
      <c r="B265">
        <f>RADIANS(A265)</f>
        <v/>
      </c>
      <c r="C265">
        <f>ATAN2(SIN((1-$B$4)*B265),$B$5/($B$7*$B$4)-COS((1-$B$4)*B265))</f>
        <v/>
      </c>
      <c r="D265">
        <f>$B$5*COS(B265)-$B$6*COS(B265+C265)-$B$7*COS($B$4*B265)</f>
        <v/>
      </c>
      <c r="E265">
        <f>-$B$5*SIN(B265)+$B$6*SIN(B265+C265)+$B$7*SIN($B$4*B265)</f>
        <v/>
      </c>
      <c r="F265" t="inlineStr">
        <is>
          <t>Copy x(t), y(t) into SolidWorks Equation Driven Curve</t>
        </is>
      </c>
    </row>
    <row r="266">
      <c r="A266">
        <f>A265+1</f>
        <v/>
      </c>
      <c r="B266">
        <f>RADIANS(A266)</f>
        <v/>
      </c>
      <c r="C266">
        <f>ATAN2(SIN((1-$B$4)*B266),$B$5/($B$7*$B$4)-COS((1-$B$4)*B266))</f>
        <v/>
      </c>
      <c r="D266">
        <f>$B$5*COS(B266)-$B$6*COS(B266+C266)-$B$7*COS($B$4*B266)</f>
        <v/>
      </c>
      <c r="E266">
        <f>-$B$5*SIN(B266)+$B$6*SIN(B266+C266)+$B$7*SIN($B$4*B266)</f>
        <v/>
      </c>
      <c r="F266" t="inlineStr">
        <is>
          <t>Copy x(t), y(t) into SolidWorks Equation Driven Curve</t>
        </is>
      </c>
    </row>
    <row r="267">
      <c r="A267">
        <f>A266+1</f>
        <v/>
      </c>
      <c r="B267">
        <f>RADIANS(A267)</f>
        <v/>
      </c>
      <c r="C267">
        <f>ATAN2(SIN((1-$B$4)*B267),$B$5/($B$7*$B$4)-COS((1-$B$4)*B267))</f>
        <v/>
      </c>
      <c r="D267">
        <f>$B$5*COS(B267)-$B$6*COS(B267+C267)-$B$7*COS($B$4*B267)</f>
        <v/>
      </c>
      <c r="E267">
        <f>-$B$5*SIN(B267)+$B$6*SIN(B267+C267)+$B$7*SIN($B$4*B267)</f>
        <v/>
      </c>
      <c r="F267" t="inlineStr">
        <is>
          <t>Copy x(t), y(t) into SolidWorks Equation Driven Curve</t>
        </is>
      </c>
    </row>
    <row r="268">
      <c r="A268">
        <f>A267+1</f>
        <v/>
      </c>
      <c r="B268">
        <f>RADIANS(A268)</f>
        <v/>
      </c>
      <c r="C268">
        <f>ATAN2(SIN((1-$B$4)*B268),$B$5/($B$7*$B$4)-COS((1-$B$4)*B268))</f>
        <v/>
      </c>
      <c r="D268">
        <f>$B$5*COS(B268)-$B$6*COS(B268+C268)-$B$7*COS($B$4*B268)</f>
        <v/>
      </c>
      <c r="E268">
        <f>-$B$5*SIN(B268)+$B$6*SIN(B268+C268)+$B$7*SIN($B$4*B268)</f>
        <v/>
      </c>
      <c r="F268" t="inlineStr">
        <is>
          <t>Copy x(t), y(t) into SolidWorks Equation Driven Curve</t>
        </is>
      </c>
    </row>
    <row r="269">
      <c r="A269">
        <f>A268+1</f>
        <v/>
      </c>
      <c r="B269">
        <f>RADIANS(A269)</f>
        <v/>
      </c>
      <c r="C269">
        <f>ATAN2(SIN((1-$B$4)*B269),$B$5/($B$7*$B$4)-COS((1-$B$4)*B269))</f>
        <v/>
      </c>
      <c r="D269">
        <f>$B$5*COS(B269)-$B$6*COS(B269+C269)-$B$7*COS($B$4*B269)</f>
        <v/>
      </c>
      <c r="E269">
        <f>-$B$5*SIN(B269)+$B$6*SIN(B269+C269)+$B$7*SIN($B$4*B269)</f>
        <v/>
      </c>
      <c r="F269" t="inlineStr">
        <is>
          <t>Copy x(t), y(t) into SolidWorks Equation Driven Curve</t>
        </is>
      </c>
    </row>
    <row r="270">
      <c r="A270">
        <f>A269+1</f>
        <v/>
      </c>
      <c r="B270">
        <f>RADIANS(A270)</f>
        <v/>
      </c>
      <c r="C270">
        <f>ATAN2(SIN((1-$B$4)*B270),$B$5/($B$7*$B$4)-COS((1-$B$4)*B270))</f>
        <v/>
      </c>
      <c r="D270">
        <f>$B$5*COS(B270)-$B$6*COS(B270+C270)-$B$7*COS($B$4*B270)</f>
        <v/>
      </c>
      <c r="E270">
        <f>-$B$5*SIN(B270)+$B$6*SIN(B270+C270)+$B$7*SIN($B$4*B270)</f>
        <v/>
      </c>
      <c r="F270" t="inlineStr">
        <is>
          <t>Copy x(t), y(t) into SolidWorks Equation Driven Curve</t>
        </is>
      </c>
    </row>
    <row r="271">
      <c r="A271">
        <f>A270+1</f>
        <v/>
      </c>
      <c r="B271">
        <f>RADIANS(A271)</f>
        <v/>
      </c>
      <c r="C271">
        <f>ATAN2(SIN((1-$B$4)*B271),$B$5/($B$7*$B$4)-COS((1-$B$4)*B271))</f>
        <v/>
      </c>
      <c r="D271">
        <f>$B$5*COS(B271)-$B$6*COS(B271+C271)-$B$7*COS($B$4*B271)</f>
        <v/>
      </c>
      <c r="E271">
        <f>-$B$5*SIN(B271)+$B$6*SIN(B271+C271)+$B$7*SIN($B$4*B271)</f>
        <v/>
      </c>
      <c r="F271" t="inlineStr">
        <is>
          <t>Copy x(t), y(t) into SolidWorks Equation Driven Curve</t>
        </is>
      </c>
    </row>
    <row r="272">
      <c r="A272">
        <f>A271+1</f>
        <v/>
      </c>
      <c r="B272">
        <f>RADIANS(A272)</f>
        <v/>
      </c>
      <c r="C272">
        <f>ATAN2(SIN((1-$B$4)*B272),$B$5/($B$7*$B$4)-COS((1-$B$4)*B272))</f>
        <v/>
      </c>
      <c r="D272">
        <f>$B$5*COS(B272)-$B$6*COS(B272+C272)-$B$7*COS($B$4*B272)</f>
        <v/>
      </c>
      <c r="E272">
        <f>-$B$5*SIN(B272)+$B$6*SIN(B272+C272)+$B$7*SIN($B$4*B272)</f>
        <v/>
      </c>
      <c r="F272" t="inlineStr">
        <is>
          <t>Copy x(t), y(t) into SolidWorks Equation Driven Curve</t>
        </is>
      </c>
    </row>
    <row r="273">
      <c r="A273">
        <f>A272+1</f>
        <v/>
      </c>
      <c r="B273">
        <f>RADIANS(A273)</f>
        <v/>
      </c>
      <c r="C273">
        <f>ATAN2(SIN((1-$B$4)*B273),$B$5/($B$7*$B$4)-COS((1-$B$4)*B273))</f>
        <v/>
      </c>
      <c r="D273">
        <f>$B$5*COS(B273)-$B$6*COS(B273+C273)-$B$7*COS($B$4*B273)</f>
        <v/>
      </c>
      <c r="E273">
        <f>-$B$5*SIN(B273)+$B$6*SIN(B273+C273)+$B$7*SIN($B$4*B273)</f>
        <v/>
      </c>
      <c r="F273" t="inlineStr">
        <is>
          <t>Copy x(t), y(t) into SolidWorks Equation Driven Curve</t>
        </is>
      </c>
    </row>
    <row r="274">
      <c r="A274">
        <f>A273+1</f>
        <v/>
      </c>
      <c r="B274">
        <f>RADIANS(A274)</f>
        <v/>
      </c>
      <c r="C274">
        <f>ATAN2(SIN((1-$B$4)*B274),$B$5/($B$7*$B$4)-COS((1-$B$4)*B274))</f>
        <v/>
      </c>
      <c r="D274">
        <f>$B$5*COS(B274)-$B$6*COS(B274+C274)-$B$7*COS($B$4*B274)</f>
        <v/>
      </c>
      <c r="E274">
        <f>-$B$5*SIN(B274)+$B$6*SIN(B274+C274)+$B$7*SIN($B$4*B274)</f>
        <v/>
      </c>
      <c r="F274" t="inlineStr">
        <is>
          <t>Copy x(t), y(t) into SolidWorks Equation Driven Curve</t>
        </is>
      </c>
    </row>
    <row r="275">
      <c r="A275">
        <f>A274+1</f>
        <v/>
      </c>
      <c r="B275">
        <f>RADIANS(A275)</f>
        <v/>
      </c>
      <c r="C275">
        <f>ATAN2(SIN((1-$B$4)*B275),$B$5/($B$7*$B$4)-COS((1-$B$4)*B275))</f>
        <v/>
      </c>
      <c r="D275">
        <f>$B$5*COS(B275)-$B$6*COS(B275+C275)-$B$7*COS($B$4*B275)</f>
        <v/>
      </c>
      <c r="E275">
        <f>-$B$5*SIN(B275)+$B$6*SIN(B275+C275)+$B$7*SIN($B$4*B275)</f>
        <v/>
      </c>
      <c r="F275" t="inlineStr">
        <is>
          <t>Copy x(t), y(t) into SolidWorks Equation Driven Curve</t>
        </is>
      </c>
    </row>
    <row r="276">
      <c r="A276">
        <f>A275+1</f>
        <v/>
      </c>
      <c r="B276">
        <f>RADIANS(A276)</f>
        <v/>
      </c>
      <c r="C276">
        <f>ATAN2(SIN((1-$B$4)*B276),$B$5/($B$7*$B$4)-COS((1-$B$4)*B276))</f>
        <v/>
      </c>
      <c r="D276">
        <f>$B$5*COS(B276)-$B$6*COS(B276+C276)-$B$7*COS($B$4*B276)</f>
        <v/>
      </c>
      <c r="E276">
        <f>-$B$5*SIN(B276)+$B$6*SIN(B276+C276)+$B$7*SIN($B$4*B276)</f>
        <v/>
      </c>
      <c r="F276" t="inlineStr">
        <is>
          <t>Copy x(t), y(t) into SolidWorks Equation Driven Curve</t>
        </is>
      </c>
    </row>
    <row r="277">
      <c r="A277">
        <f>A276+1</f>
        <v/>
      </c>
      <c r="B277">
        <f>RADIANS(A277)</f>
        <v/>
      </c>
      <c r="C277">
        <f>ATAN2(SIN((1-$B$4)*B277),$B$5/($B$7*$B$4)-COS((1-$B$4)*B277))</f>
        <v/>
      </c>
      <c r="D277">
        <f>$B$5*COS(B277)-$B$6*COS(B277+C277)-$B$7*COS($B$4*B277)</f>
        <v/>
      </c>
      <c r="E277">
        <f>-$B$5*SIN(B277)+$B$6*SIN(B277+C277)+$B$7*SIN($B$4*B277)</f>
        <v/>
      </c>
      <c r="F277" t="inlineStr">
        <is>
          <t>Copy x(t), y(t) into SolidWorks Equation Driven Curve</t>
        </is>
      </c>
    </row>
    <row r="278">
      <c r="A278">
        <f>A277+1</f>
        <v/>
      </c>
      <c r="B278">
        <f>RADIANS(A278)</f>
        <v/>
      </c>
      <c r="C278">
        <f>ATAN2(SIN((1-$B$4)*B278),$B$5/($B$7*$B$4)-COS((1-$B$4)*B278))</f>
        <v/>
      </c>
      <c r="D278">
        <f>$B$5*COS(B278)-$B$6*COS(B278+C278)-$B$7*COS($B$4*B278)</f>
        <v/>
      </c>
      <c r="E278">
        <f>-$B$5*SIN(B278)+$B$6*SIN(B278+C278)+$B$7*SIN($B$4*B278)</f>
        <v/>
      </c>
      <c r="F278" t="inlineStr">
        <is>
          <t>Copy x(t), y(t) into SolidWorks Equation Driven Curve</t>
        </is>
      </c>
    </row>
    <row r="279">
      <c r="A279">
        <f>A278+1</f>
        <v/>
      </c>
      <c r="B279">
        <f>RADIANS(A279)</f>
        <v/>
      </c>
      <c r="C279">
        <f>ATAN2(SIN((1-$B$4)*B279),$B$5/($B$7*$B$4)-COS((1-$B$4)*B279))</f>
        <v/>
      </c>
      <c r="D279">
        <f>$B$5*COS(B279)-$B$6*COS(B279+C279)-$B$7*COS($B$4*B279)</f>
        <v/>
      </c>
      <c r="E279">
        <f>-$B$5*SIN(B279)+$B$6*SIN(B279+C279)+$B$7*SIN($B$4*B279)</f>
        <v/>
      </c>
      <c r="F279" t="inlineStr">
        <is>
          <t>Copy x(t), y(t) into SolidWorks Equation Driven Curve</t>
        </is>
      </c>
    </row>
    <row r="280">
      <c r="A280">
        <f>A279+1</f>
        <v/>
      </c>
      <c r="B280">
        <f>RADIANS(A280)</f>
        <v/>
      </c>
      <c r="C280">
        <f>ATAN2(SIN((1-$B$4)*B280),$B$5/($B$7*$B$4)-COS((1-$B$4)*B280))</f>
        <v/>
      </c>
      <c r="D280">
        <f>$B$5*COS(B280)-$B$6*COS(B280+C280)-$B$7*COS($B$4*B280)</f>
        <v/>
      </c>
      <c r="E280">
        <f>-$B$5*SIN(B280)+$B$6*SIN(B280+C280)+$B$7*SIN($B$4*B280)</f>
        <v/>
      </c>
      <c r="F280" t="inlineStr">
        <is>
          <t>Copy x(t), y(t) into SolidWorks Equation Driven Curve</t>
        </is>
      </c>
    </row>
    <row r="281">
      <c r="A281">
        <f>A280+1</f>
        <v/>
      </c>
      <c r="B281">
        <f>RADIANS(A281)</f>
        <v/>
      </c>
      <c r="C281">
        <f>ATAN2(SIN((1-$B$4)*B281),$B$5/($B$7*$B$4)-COS((1-$B$4)*B281))</f>
        <v/>
      </c>
      <c r="D281">
        <f>$B$5*COS(B281)-$B$6*COS(B281+C281)-$B$7*COS($B$4*B281)</f>
        <v/>
      </c>
      <c r="E281">
        <f>-$B$5*SIN(B281)+$B$6*SIN(B281+C281)+$B$7*SIN($B$4*B281)</f>
        <v/>
      </c>
      <c r="F281" t="inlineStr">
        <is>
          <t>Copy x(t), y(t) into SolidWorks Equation Driven Curve</t>
        </is>
      </c>
    </row>
    <row r="282">
      <c r="A282">
        <f>A281+1</f>
        <v/>
      </c>
      <c r="B282">
        <f>RADIANS(A282)</f>
        <v/>
      </c>
      <c r="C282">
        <f>ATAN2(SIN((1-$B$4)*B282),$B$5/($B$7*$B$4)-COS((1-$B$4)*B282))</f>
        <v/>
      </c>
      <c r="D282">
        <f>$B$5*COS(B282)-$B$6*COS(B282+C282)-$B$7*COS($B$4*B282)</f>
        <v/>
      </c>
      <c r="E282">
        <f>-$B$5*SIN(B282)+$B$6*SIN(B282+C282)+$B$7*SIN($B$4*B282)</f>
        <v/>
      </c>
      <c r="F282" t="inlineStr">
        <is>
          <t>Copy x(t), y(t) into SolidWorks Equation Driven Curve</t>
        </is>
      </c>
    </row>
    <row r="283">
      <c r="A283">
        <f>A282+1</f>
        <v/>
      </c>
      <c r="B283">
        <f>RADIANS(A283)</f>
        <v/>
      </c>
      <c r="C283">
        <f>ATAN2(SIN((1-$B$4)*B283),$B$5/($B$7*$B$4)-COS((1-$B$4)*B283))</f>
        <v/>
      </c>
      <c r="D283">
        <f>$B$5*COS(B283)-$B$6*COS(B283+C283)-$B$7*COS($B$4*B283)</f>
        <v/>
      </c>
      <c r="E283">
        <f>-$B$5*SIN(B283)+$B$6*SIN(B283+C283)+$B$7*SIN($B$4*B283)</f>
        <v/>
      </c>
      <c r="F283" t="inlineStr">
        <is>
          <t>Copy x(t), y(t) into SolidWorks Equation Driven Curve</t>
        </is>
      </c>
    </row>
    <row r="284">
      <c r="A284">
        <f>A283+1</f>
        <v/>
      </c>
      <c r="B284">
        <f>RADIANS(A284)</f>
        <v/>
      </c>
      <c r="C284">
        <f>ATAN2(SIN((1-$B$4)*B284),$B$5/($B$7*$B$4)-COS((1-$B$4)*B284))</f>
        <v/>
      </c>
      <c r="D284">
        <f>$B$5*COS(B284)-$B$6*COS(B284+C284)-$B$7*COS($B$4*B284)</f>
        <v/>
      </c>
      <c r="E284">
        <f>-$B$5*SIN(B284)+$B$6*SIN(B284+C284)+$B$7*SIN($B$4*B284)</f>
        <v/>
      </c>
      <c r="F284" t="inlineStr">
        <is>
          <t>Copy x(t), y(t) into SolidWorks Equation Driven Curve</t>
        </is>
      </c>
    </row>
    <row r="285">
      <c r="A285">
        <f>A284+1</f>
        <v/>
      </c>
      <c r="B285">
        <f>RADIANS(A285)</f>
        <v/>
      </c>
      <c r="C285">
        <f>ATAN2(SIN((1-$B$4)*B285),$B$5/($B$7*$B$4)-COS((1-$B$4)*B285))</f>
        <v/>
      </c>
      <c r="D285">
        <f>$B$5*COS(B285)-$B$6*COS(B285+C285)-$B$7*COS($B$4*B285)</f>
        <v/>
      </c>
      <c r="E285">
        <f>-$B$5*SIN(B285)+$B$6*SIN(B285+C285)+$B$7*SIN($B$4*B285)</f>
        <v/>
      </c>
      <c r="F285" t="inlineStr">
        <is>
          <t>Copy x(t), y(t) into SolidWorks Equation Driven Curve</t>
        </is>
      </c>
    </row>
    <row r="286">
      <c r="A286">
        <f>A285+1</f>
        <v/>
      </c>
      <c r="B286">
        <f>RADIANS(A286)</f>
        <v/>
      </c>
      <c r="C286">
        <f>ATAN2(SIN((1-$B$4)*B286),$B$5/($B$7*$B$4)-COS((1-$B$4)*B286))</f>
        <v/>
      </c>
      <c r="D286">
        <f>$B$5*COS(B286)-$B$6*COS(B286+C286)-$B$7*COS($B$4*B286)</f>
        <v/>
      </c>
      <c r="E286">
        <f>-$B$5*SIN(B286)+$B$6*SIN(B286+C286)+$B$7*SIN($B$4*B286)</f>
        <v/>
      </c>
      <c r="F286" t="inlineStr">
        <is>
          <t>Copy x(t), y(t) into SolidWorks Equation Driven Curve</t>
        </is>
      </c>
    </row>
    <row r="287">
      <c r="A287">
        <f>A286+1</f>
        <v/>
      </c>
      <c r="B287">
        <f>RADIANS(A287)</f>
        <v/>
      </c>
      <c r="C287">
        <f>ATAN2(SIN((1-$B$4)*B287),$B$5/($B$7*$B$4)-COS((1-$B$4)*B287))</f>
        <v/>
      </c>
      <c r="D287">
        <f>$B$5*COS(B287)-$B$6*COS(B287+C287)-$B$7*COS($B$4*B287)</f>
        <v/>
      </c>
      <c r="E287">
        <f>-$B$5*SIN(B287)+$B$6*SIN(B287+C287)+$B$7*SIN($B$4*B287)</f>
        <v/>
      </c>
      <c r="F287" t="inlineStr">
        <is>
          <t>Copy x(t), y(t) into SolidWorks Equation Driven Curve</t>
        </is>
      </c>
    </row>
    <row r="288">
      <c r="A288">
        <f>A287+1</f>
        <v/>
      </c>
      <c r="B288">
        <f>RADIANS(A288)</f>
        <v/>
      </c>
      <c r="C288">
        <f>ATAN2(SIN((1-$B$4)*B288),$B$5/($B$7*$B$4)-COS((1-$B$4)*B288))</f>
        <v/>
      </c>
      <c r="D288">
        <f>$B$5*COS(B288)-$B$6*COS(B288+C288)-$B$7*COS($B$4*B288)</f>
        <v/>
      </c>
      <c r="E288">
        <f>-$B$5*SIN(B288)+$B$6*SIN(B288+C288)+$B$7*SIN($B$4*B288)</f>
        <v/>
      </c>
      <c r="F288" t="inlineStr">
        <is>
          <t>Copy x(t), y(t) into SolidWorks Equation Driven Curve</t>
        </is>
      </c>
    </row>
    <row r="289">
      <c r="A289">
        <f>A288+1</f>
        <v/>
      </c>
      <c r="B289">
        <f>RADIANS(A289)</f>
        <v/>
      </c>
      <c r="C289">
        <f>ATAN2(SIN((1-$B$4)*B289),$B$5/($B$7*$B$4)-COS((1-$B$4)*B289))</f>
        <v/>
      </c>
      <c r="D289">
        <f>$B$5*COS(B289)-$B$6*COS(B289+C289)-$B$7*COS($B$4*B289)</f>
        <v/>
      </c>
      <c r="E289">
        <f>-$B$5*SIN(B289)+$B$6*SIN(B289+C289)+$B$7*SIN($B$4*B289)</f>
        <v/>
      </c>
      <c r="F289" t="inlineStr">
        <is>
          <t>Copy x(t), y(t) into SolidWorks Equation Driven Curve</t>
        </is>
      </c>
    </row>
    <row r="290">
      <c r="A290">
        <f>A289+1</f>
        <v/>
      </c>
      <c r="B290">
        <f>RADIANS(A290)</f>
        <v/>
      </c>
      <c r="C290">
        <f>ATAN2(SIN((1-$B$4)*B290),$B$5/($B$7*$B$4)-COS((1-$B$4)*B290))</f>
        <v/>
      </c>
      <c r="D290">
        <f>$B$5*COS(B290)-$B$6*COS(B290+C290)-$B$7*COS($B$4*B290)</f>
        <v/>
      </c>
      <c r="E290">
        <f>-$B$5*SIN(B290)+$B$6*SIN(B290+C290)+$B$7*SIN($B$4*B290)</f>
        <v/>
      </c>
      <c r="F290" t="inlineStr">
        <is>
          <t>Copy x(t), y(t) into SolidWorks Equation Driven Curve</t>
        </is>
      </c>
    </row>
    <row r="291">
      <c r="A291">
        <f>A290+1</f>
        <v/>
      </c>
      <c r="B291">
        <f>RADIANS(A291)</f>
        <v/>
      </c>
      <c r="C291">
        <f>ATAN2(SIN((1-$B$4)*B291),$B$5/($B$7*$B$4)-COS((1-$B$4)*B291))</f>
        <v/>
      </c>
      <c r="D291">
        <f>$B$5*COS(B291)-$B$6*COS(B291+C291)-$B$7*COS($B$4*B291)</f>
        <v/>
      </c>
      <c r="E291">
        <f>-$B$5*SIN(B291)+$B$6*SIN(B291+C291)+$B$7*SIN($B$4*B291)</f>
        <v/>
      </c>
      <c r="F291" t="inlineStr">
        <is>
          <t>Copy x(t), y(t) into SolidWorks Equation Driven Curve</t>
        </is>
      </c>
    </row>
    <row r="292">
      <c r="A292">
        <f>A291+1</f>
        <v/>
      </c>
      <c r="B292">
        <f>RADIANS(A292)</f>
        <v/>
      </c>
      <c r="C292">
        <f>ATAN2(SIN((1-$B$4)*B292),$B$5/($B$7*$B$4)-COS((1-$B$4)*B292))</f>
        <v/>
      </c>
      <c r="D292">
        <f>$B$5*COS(B292)-$B$6*COS(B292+C292)-$B$7*COS($B$4*B292)</f>
        <v/>
      </c>
      <c r="E292">
        <f>-$B$5*SIN(B292)+$B$6*SIN(B292+C292)+$B$7*SIN($B$4*B292)</f>
        <v/>
      </c>
      <c r="F292" t="inlineStr">
        <is>
          <t>Copy x(t), y(t) into SolidWorks Equation Driven Curve</t>
        </is>
      </c>
    </row>
    <row r="293">
      <c r="A293">
        <f>A292+1</f>
        <v/>
      </c>
      <c r="B293">
        <f>RADIANS(A293)</f>
        <v/>
      </c>
      <c r="C293">
        <f>ATAN2(SIN((1-$B$4)*B293),$B$5/($B$7*$B$4)-COS((1-$B$4)*B293))</f>
        <v/>
      </c>
      <c r="D293">
        <f>$B$5*COS(B293)-$B$6*COS(B293+C293)-$B$7*COS($B$4*B293)</f>
        <v/>
      </c>
      <c r="E293">
        <f>-$B$5*SIN(B293)+$B$6*SIN(B293+C293)+$B$7*SIN($B$4*B293)</f>
        <v/>
      </c>
      <c r="F293" t="inlineStr">
        <is>
          <t>Copy x(t), y(t) into SolidWorks Equation Driven Curve</t>
        </is>
      </c>
    </row>
    <row r="294">
      <c r="A294">
        <f>A293+1</f>
        <v/>
      </c>
      <c r="B294">
        <f>RADIANS(A294)</f>
        <v/>
      </c>
      <c r="C294">
        <f>ATAN2(SIN((1-$B$4)*B294),$B$5/($B$7*$B$4)-COS((1-$B$4)*B294))</f>
        <v/>
      </c>
      <c r="D294">
        <f>$B$5*COS(B294)-$B$6*COS(B294+C294)-$B$7*COS($B$4*B294)</f>
        <v/>
      </c>
      <c r="E294">
        <f>-$B$5*SIN(B294)+$B$6*SIN(B294+C294)+$B$7*SIN($B$4*B294)</f>
        <v/>
      </c>
      <c r="F294" t="inlineStr">
        <is>
          <t>Copy x(t), y(t) into SolidWorks Equation Driven Curve</t>
        </is>
      </c>
    </row>
    <row r="295">
      <c r="A295">
        <f>A294+1</f>
        <v/>
      </c>
      <c r="B295">
        <f>RADIANS(A295)</f>
        <v/>
      </c>
      <c r="C295">
        <f>ATAN2(SIN((1-$B$4)*B295),$B$5/($B$7*$B$4)-COS((1-$B$4)*B295))</f>
        <v/>
      </c>
      <c r="D295">
        <f>$B$5*COS(B295)-$B$6*COS(B295+C295)-$B$7*COS($B$4*B295)</f>
        <v/>
      </c>
      <c r="E295">
        <f>-$B$5*SIN(B295)+$B$6*SIN(B295+C295)+$B$7*SIN($B$4*B295)</f>
        <v/>
      </c>
      <c r="F295" t="inlineStr">
        <is>
          <t>Copy x(t), y(t) into SolidWorks Equation Driven Curve</t>
        </is>
      </c>
    </row>
    <row r="296">
      <c r="A296">
        <f>A295+1</f>
        <v/>
      </c>
      <c r="B296">
        <f>RADIANS(A296)</f>
        <v/>
      </c>
      <c r="C296">
        <f>ATAN2(SIN((1-$B$4)*B296),$B$5/($B$7*$B$4)-COS((1-$B$4)*B296))</f>
        <v/>
      </c>
      <c r="D296">
        <f>$B$5*COS(B296)-$B$6*COS(B296+C296)-$B$7*COS($B$4*B296)</f>
        <v/>
      </c>
      <c r="E296">
        <f>-$B$5*SIN(B296)+$B$6*SIN(B296+C296)+$B$7*SIN($B$4*B296)</f>
        <v/>
      </c>
      <c r="F296" t="inlineStr">
        <is>
          <t>Copy x(t), y(t) into SolidWorks Equation Driven Curve</t>
        </is>
      </c>
    </row>
    <row r="297">
      <c r="A297">
        <f>A296+1</f>
        <v/>
      </c>
      <c r="B297">
        <f>RADIANS(A297)</f>
        <v/>
      </c>
      <c r="C297">
        <f>ATAN2(SIN((1-$B$4)*B297),$B$5/($B$7*$B$4)-COS((1-$B$4)*B297))</f>
        <v/>
      </c>
      <c r="D297">
        <f>$B$5*COS(B297)-$B$6*COS(B297+C297)-$B$7*COS($B$4*B297)</f>
        <v/>
      </c>
      <c r="E297">
        <f>-$B$5*SIN(B297)+$B$6*SIN(B297+C297)+$B$7*SIN($B$4*B297)</f>
        <v/>
      </c>
      <c r="F297" t="inlineStr">
        <is>
          <t>Copy x(t), y(t) into SolidWorks Equation Driven Curve</t>
        </is>
      </c>
    </row>
    <row r="298">
      <c r="A298">
        <f>A297+1</f>
        <v/>
      </c>
      <c r="B298">
        <f>RADIANS(A298)</f>
        <v/>
      </c>
      <c r="C298">
        <f>ATAN2(SIN((1-$B$4)*B298),$B$5/($B$7*$B$4)-COS((1-$B$4)*B298))</f>
        <v/>
      </c>
      <c r="D298">
        <f>$B$5*COS(B298)-$B$6*COS(B298+C298)-$B$7*COS($B$4*B298)</f>
        <v/>
      </c>
      <c r="E298">
        <f>-$B$5*SIN(B298)+$B$6*SIN(B298+C298)+$B$7*SIN($B$4*B298)</f>
        <v/>
      </c>
      <c r="F298" t="inlineStr">
        <is>
          <t>Copy x(t), y(t) into SolidWorks Equation Driven Curve</t>
        </is>
      </c>
    </row>
    <row r="299">
      <c r="A299">
        <f>A298+1</f>
        <v/>
      </c>
      <c r="B299">
        <f>RADIANS(A299)</f>
        <v/>
      </c>
      <c r="C299">
        <f>ATAN2(SIN((1-$B$4)*B299),$B$5/($B$7*$B$4)-COS((1-$B$4)*B299))</f>
        <v/>
      </c>
      <c r="D299">
        <f>$B$5*COS(B299)-$B$6*COS(B299+C299)-$B$7*COS($B$4*B299)</f>
        <v/>
      </c>
      <c r="E299">
        <f>-$B$5*SIN(B299)+$B$6*SIN(B299+C299)+$B$7*SIN($B$4*B299)</f>
        <v/>
      </c>
      <c r="F299" t="inlineStr">
        <is>
          <t>Copy x(t), y(t) into SolidWorks Equation Driven Curve</t>
        </is>
      </c>
    </row>
    <row r="300">
      <c r="A300">
        <f>A299+1</f>
        <v/>
      </c>
      <c r="B300">
        <f>RADIANS(A300)</f>
        <v/>
      </c>
      <c r="C300">
        <f>ATAN2(SIN((1-$B$4)*B300),$B$5/($B$7*$B$4)-COS((1-$B$4)*B300))</f>
        <v/>
      </c>
      <c r="D300">
        <f>$B$5*COS(B300)-$B$6*COS(B300+C300)-$B$7*COS($B$4*B300)</f>
        <v/>
      </c>
      <c r="E300">
        <f>-$B$5*SIN(B300)+$B$6*SIN(B300+C300)+$B$7*SIN($B$4*B300)</f>
        <v/>
      </c>
      <c r="F300" t="inlineStr">
        <is>
          <t>Copy x(t), y(t) into SolidWorks Equation Driven Curve</t>
        </is>
      </c>
    </row>
    <row r="301">
      <c r="A301">
        <f>A300+1</f>
        <v/>
      </c>
      <c r="B301">
        <f>RADIANS(A301)</f>
        <v/>
      </c>
      <c r="C301">
        <f>ATAN2(SIN((1-$B$4)*B301),$B$5/($B$7*$B$4)-COS((1-$B$4)*B301))</f>
        <v/>
      </c>
      <c r="D301">
        <f>$B$5*COS(B301)-$B$6*COS(B301+C301)-$B$7*COS($B$4*B301)</f>
        <v/>
      </c>
      <c r="E301">
        <f>-$B$5*SIN(B301)+$B$6*SIN(B301+C301)+$B$7*SIN($B$4*B301)</f>
        <v/>
      </c>
      <c r="F301" t="inlineStr">
        <is>
          <t>Copy x(t), y(t) into SolidWorks Equation Driven Curve</t>
        </is>
      </c>
    </row>
    <row r="302">
      <c r="A302">
        <f>A301+1</f>
        <v/>
      </c>
      <c r="B302">
        <f>RADIANS(A302)</f>
        <v/>
      </c>
      <c r="C302">
        <f>ATAN2(SIN((1-$B$4)*B302),$B$5/($B$7*$B$4)-COS((1-$B$4)*B302))</f>
        <v/>
      </c>
      <c r="D302">
        <f>$B$5*COS(B302)-$B$6*COS(B302+C302)-$B$7*COS($B$4*B302)</f>
        <v/>
      </c>
      <c r="E302">
        <f>-$B$5*SIN(B302)+$B$6*SIN(B302+C302)+$B$7*SIN($B$4*B302)</f>
        <v/>
      </c>
      <c r="F302" t="inlineStr">
        <is>
          <t>Copy x(t), y(t) into SolidWorks Equation Driven Curve</t>
        </is>
      </c>
    </row>
    <row r="303">
      <c r="A303">
        <f>A302+1</f>
        <v/>
      </c>
      <c r="B303">
        <f>RADIANS(A303)</f>
        <v/>
      </c>
      <c r="C303">
        <f>ATAN2(SIN((1-$B$4)*B303),$B$5/($B$7*$B$4)-COS((1-$B$4)*B303))</f>
        <v/>
      </c>
      <c r="D303">
        <f>$B$5*COS(B303)-$B$6*COS(B303+C303)-$B$7*COS($B$4*B303)</f>
        <v/>
      </c>
      <c r="E303">
        <f>-$B$5*SIN(B303)+$B$6*SIN(B303+C303)+$B$7*SIN($B$4*B303)</f>
        <v/>
      </c>
      <c r="F303" t="inlineStr">
        <is>
          <t>Copy x(t), y(t) into SolidWorks Equation Driven Curve</t>
        </is>
      </c>
    </row>
    <row r="304">
      <c r="A304">
        <f>A303+1</f>
        <v/>
      </c>
      <c r="B304">
        <f>RADIANS(A304)</f>
        <v/>
      </c>
      <c r="C304">
        <f>ATAN2(SIN((1-$B$4)*B304),$B$5/($B$7*$B$4)-COS((1-$B$4)*B304))</f>
        <v/>
      </c>
      <c r="D304">
        <f>$B$5*COS(B304)-$B$6*COS(B304+C304)-$B$7*COS($B$4*B304)</f>
        <v/>
      </c>
      <c r="E304">
        <f>-$B$5*SIN(B304)+$B$6*SIN(B304+C304)+$B$7*SIN($B$4*B304)</f>
        <v/>
      </c>
      <c r="F304" t="inlineStr">
        <is>
          <t>Copy x(t), y(t) into SolidWorks Equation Driven Curve</t>
        </is>
      </c>
    </row>
    <row r="305">
      <c r="A305">
        <f>A304+1</f>
        <v/>
      </c>
      <c r="B305">
        <f>RADIANS(A305)</f>
        <v/>
      </c>
      <c r="C305">
        <f>ATAN2(SIN((1-$B$4)*B305),$B$5/($B$7*$B$4)-COS((1-$B$4)*B305))</f>
        <v/>
      </c>
      <c r="D305">
        <f>$B$5*COS(B305)-$B$6*COS(B305+C305)-$B$7*COS($B$4*B305)</f>
        <v/>
      </c>
      <c r="E305">
        <f>-$B$5*SIN(B305)+$B$6*SIN(B305+C305)+$B$7*SIN($B$4*B305)</f>
        <v/>
      </c>
      <c r="F305" t="inlineStr">
        <is>
          <t>Copy x(t), y(t) into SolidWorks Equation Driven Curve</t>
        </is>
      </c>
    </row>
    <row r="306">
      <c r="A306">
        <f>A305+1</f>
        <v/>
      </c>
      <c r="B306">
        <f>RADIANS(A306)</f>
        <v/>
      </c>
      <c r="C306">
        <f>ATAN2(SIN((1-$B$4)*B306),$B$5/($B$7*$B$4)-COS((1-$B$4)*B306))</f>
        <v/>
      </c>
      <c r="D306">
        <f>$B$5*COS(B306)-$B$6*COS(B306+C306)-$B$7*COS($B$4*B306)</f>
        <v/>
      </c>
      <c r="E306">
        <f>-$B$5*SIN(B306)+$B$6*SIN(B306+C306)+$B$7*SIN($B$4*B306)</f>
        <v/>
      </c>
      <c r="F306" t="inlineStr">
        <is>
          <t>Copy x(t), y(t) into SolidWorks Equation Driven Curve</t>
        </is>
      </c>
    </row>
    <row r="307">
      <c r="A307">
        <f>A306+1</f>
        <v/>
      </c>
      <c r="B307">
        <f>RADIANS(A307)</f>
        <v/>
      </c>
      <c r="C307">
        <f>ATAN2(SIN((1-$B$4)*B307),$B$5/($B$7*$B$4)-COS((1-$B$4)*B307))</f>
        <v/>
      </c>
      <c r="D307">
        <f>$B$5*COS(B307)-$B$6*COS(B307+C307)-$B$7*COS($B$4*B307)</f>
        <v/>
      </c>
      <c r="E307">
        <f>-$B$5*SIN(B307)+$B$6*SIN(B307+C307)+$B$7*SIN($B$4*B307)</f>
        <v/>
      </c>
      <c r="F307" t="inlineStr">
        <is>
          <t>Copy x(t), y(t) into SolidWorks Equation Driven Curve</t>
        </is>
      </c>
    </row>
    <row r="308">
      <c r="A308">
        <f>A307+1</f>
        <v/>
      </c>
      <c r="B308">
        <f>RADIANS(A308)</f>
        <v/>
      </c>
      <c r="C308">
        <f>ATAN2(SIN((1-$B$4)*B308),$B$5/($B$7*$B$4)-COS((1-$B$4)*B308))</f>
        <v/>
      </c>
      <c r="D308">
        <f>$B$5*COS(B308)-$B$6*COS(B308+C308)-$B$7*COS($B$4*B308)</f>
        <v/>
      </c>
      <c r="E308">
        <f>-$B$5*SIN(B308)+$B$6*SIN(B308+C308)+$B$7*SIN($B$4*B308)</f>
        <v/>
      </c>
      <c r="F308" t="inlineStr">
        <is>
          <t>Copy x(t), y(t) into SolidWorks Equation Driven Curve</t>
        </is>
      </c>
    </row>
    <row r="309">
      <c r="A309">
        <f>A308+1</f>
        <v/>
      </c>
      <c r="B309">
        <f>RADIANS(A309)</f>
        <v/>
      </c>
      <c r="C309">
        <f>ATAN2(SIN((1-$B$4)*B309),$B$5/($B$7*$B$4)-COS((1-$B$4)*B309))</f>
        <v/>
      </c>
      <c r="D309">
        <f>$B$5*COS(B309)-$B$6*COS(B309+C309)-$B$7*COS($B$4*B309)</f>
        <v/>
      </c>
      <c r="E309">
        <f>-$B$5*SIN(B309)+$B$6*SIN(B309+C309)+$B$7*SIN($B$4*B309)</f>
        <v/>
      </c>
      <c r="F309" t="inlineStr">
        <is>
          <t>Copy x(t), y(t) into SolidWorks Equation Driven Curve</t>
        </is>
      </c>
    </row>
    <row r="310">
      <c r="A310">
        <f>A309+1</f>
        <v/>
      </c>
      <c r="B310">
        <f>RADIANS(A310)</f>
        <v/>
      </c>
      <c r="C310">
        <f>ATAN2(SIN((1-$B$4)*B310),$B$5/($B$7*$B$4)-COS((1-$B$4)*B310))</f>
        <v/>
      </c>
      <c r="D310">
        <f>$B$5*COS(B310)-$B$6*COS(B310+C310)-$B$7*COS($B$4*B310)</f>
        <v/>
      </c>
      <c r="E310">
        <f>-$B$5*SIN(B310)+$B$6*SIN(B310+C310)+$B$7*SIN($B$4*B310)</f>
        <v/>
      </c>
      <c r="F310" t="inlineStr">
        <is>
          <t>Copy x(t), y(t) into SolidWorks Equation Driven Curve</t>
        </is>
      </c>
    </row>
    <row r="311">
      <c r="A311">
        <f>A310+1</f>
        <v/>
      </c>
      <c r="B311">
        <f>RADIANS(A311)</f>
        <v/>
      </c>
      <c r="C311">
        <f>ATAN2(SIN((1-$B$4)*B311),$B$5/($B$7*$B$4)-COS((1-$B$4)*B311))</f>
        <v/>
      </c>
      <c r="D311">
        <f>$B$5*COS(B311)-$B$6*COS(B311+C311)-$B$7*COS($B$4*B311)</f>
        <v/>
      </c>
      <c r="E311">
        <f>-$B$5*SIN(B311)+$B$6*SIN(B311+C311)+$B$7*SIN($B$4*B311)</f>
        <v/>
      </c>
      <c r="F311" t="inlineStr">
        <is>
          <t>Copy x(t), y(t) into SolidWorks Equation Driven Curve</t>
        </is>
      </c>
    </row>
    <row r="312">
      <c r="A312">
        <f>A311+1</f>
        <v/>
      </c>
      <c r="B312">
        <f>RADIANS(A312)</f>
        <v/>
      </c>
      <c r="C312">
        <f>ATAN2(SIN((1-$B$4)*B312),$B$5/($B$7*$B$4)-COS((1-$B$4)*B312))</f>
        <v/>
      </c>
      <c r="D312">
        <f>$B$5*COS(B312)-$B$6*COS(B312+C312)-$B$7*COS($B$4*B312)</f>
        <v/>
      </c>
      <c r="E312">
        <f>-$B$5*SIN(B312)+$B$6*SIN(B312+C312)+$B$7*SIN($B$4*B312)</f>
        <v/>
      </c>
      <c r="F312" t="inlineStr">
        <is>
          <t>Copy x(t), y(t) into SolidWorks Equation Driven Curve</t>
        </is>
      </c>
    </row>
    <row r="313">
      <c r="A313">
        <f>A312+1</f>
        <v/>
      </c>
      <c r="B313">
        <f>RADIANS(A313)</f>
        <v/>
      </c>
      <c r="C313">
        <f>ATAN2(SIN((1-$B$4)*B313),$B$5/($B$7*$B$4)-COS((1-$B$4)*B313))</f>
        <v/>
      </c>
      <c r="D313">
        <f>$B$5*COS(B313)-$B$6*COS(B313+C313)-$B$7*COS($B$4*B313)</f>
        <v/>
      </c>
      <c r="E313">
        <f>-$B$5*SIN(B313)+$B$6*SIN(B313+C313)+$B$7*SIN($B$4*B313)</f>
        <v/>
      </c>
      <c r="F313" t="inlineStr">
        <is>
          <t>Copy x(t), y(t) into SolidWorks Equation Driven Curve</t>
        </is>
      </c>
    </row>
    <row r="314">
      <c r="A314">
        <f>A313+1</f>
        <v/>
      </c>
      <c r="B314">
        <f>RADIANS(A314)</f>
        <v/>
      </c>
      <c r="C314">
        <f>ATAN2(SIN((1-$B$4)*B314),$B$5/($B$7*$B$4)-COS((1-$B$4)*B314))</f>
        <v/>
      </c>
      <c r="D314">
        <f>$B$5*COS(B314)-$B$6*COS(B314+C314)-$B$7*COS($B$4*B314)</f>
        <v/>
      </c>
      <c r="E314">
        <f>-$B$5*SIN(B314)+$B$6*SIN(B314+C314)+$B$7*SIN($B$4*B314)</f>
        <v/>
      </c>
      <c r="F314" t="inlineStr">
        <is>
          <t>Copy x(t), y(t) into SolidWorks Equation Driven Curve</t>
        </is>
      </c>
    </row>
    <row r="315">
      <c r="A315">
        <f>A314+1</f>
        <v/>
      </c>
      <c r="B315">
        <f>RADIANS(A315)</f>
        <v/>
      </c>
      <c r="C315">
        <f>ATAN2(SIN((1-$B$4)*B315),$B$5/($B$7*$B$4)-COS((1-$B$4)*B315))</f>
        <v/>
      </c>
      <c r="D315">
        <f>$B$5*COS(B315)-$B$6*COS(B315+C315)-$B$7*COS($B$4*B315)</f>
        <v/>
      </c>
      <c r="E315">
        <f>-$B$5*SIN(B315)+$B$6*SIN(B315+C315)+$B$7*SIN($B$4*B315)</f>
        <v/>
      </c>
      <c r="F315" t="inlineStr">
        <is>
          <t>Copy x(t), y(t) into SolidWorks Equation Driven Curve</t>
        </is>
      </c>
    </row>
    <row r="316">
      <c r="A316">
        <f>A315+1</f>
        <v/>
      </c>
      <c r="B316">
        <f>RADIANS(A316)</f>
        <v/>
      </c>
      <c r="C316">
        <f>ATAN2(SIN((1-$B$4)*B316),$B$5/($B$7*$B$4)-COS((1-$B$4)*B316))</f>
        <v/>
      </c>
      <c r="D316">
        <f>$B$5*COS(B316)-$B$6*COS(B316+C316)-$B$7*COS($B$4*B316)</f>
        <v/>
      </c>
      <c r="E316">
        <f>-$B$5*SIN(B316)+$B$6*SIN(B316+C316)+$B$7*SIN($B$4*B316)</f>
        <v/>
      </c>
      <c r="F316" t="inlineStr">
        <is>
          <t>Copy x(t), y(t) into SolidWorks Equation Driven Curve</t>
        </is>
      </c>
    </row>
    <row r="317">
      <c r="A317">
        <f>A316+1</f>
        <v/>
      </c>
      <c r="B317">
        <f>RADIANS(A317)</f>
        <v/>
      </c>
      <c r="C317">
        <f>ATAN2(SIN((1-$B$4)*B317),$B$5/($B$7*$B$4)-COS((1-$B$4)*B317))</f>
        <v/>
      </c>
      <c r="D317">
        <f>$B$5*COS(B317)-$B$6*COS(B317+C317)-$B$7*COS($B$4*B317)</f>
        <v/>
      </c>
      <c r="E317">
        <f>-$B$5*SIN(B317)+$B$6*SIN(B317+C317)+$B$7*SIN($B$4*B317)</f>
        <v/>
      </c>
      <c r="F317" t="inlineStr">
        <is>
          <t>Copy x(t), y(t) into SolidWorks Equation Driven Curve</t>
        </is>
      </c>
    </row>
    <row r="318">
      <c r="A318">
        <f>A317+1</f>
        <v/>
      </c>
      <c r="B318">
        <f>RADIANS(A318)</f>
        <v/>
      </c>
      <c r="C318">
        <f>ATAN2(SIN((1-$B$4)*B318),$B$5/($B$7*$B$4)-COS((1-$B$4)*B318))</f>
        <v/>
      </c>
      <c r="D318">
        <f>$B$5*COS(B318)-$B$6*COS(B318+C318)-$B$7*COS($B$4*B318)</f>
        <v/>
      </c>
      <c r="E318">
        <f>-$B$5*SIN(B318)+$B$6*SIN(B318+C318)+$B$7*SIN($B$4*B318)</f>
        <v/>
      </c>
      <c r="F318" t="inlineStr">
        <is>
          <t>Copy x(t), y(t) into SolidWorks Equation Driven Curve</t>
        </is>
      </c>
    </row>
    <row r="319">
      <c r="A319">
        <f>A318+1</f>
        <v/>
      </c>
      <c r="B319">
        <f>RADIANS(A319)</f>
        <v/>
      </c>
      <c r="C319">
        <f>ATAN2(SIN((1-$B$4)*B319),$B$5/($B$7*$B$4)-COS((1-$B$4)*B319))</f>
        <v/>
      </c>
      <c r="D319">
        <f>$B$5*COS(B319)-$B$6*COS(B319+C319)-$B$7*COS($B$4*B319)</f>
        <v/>
      </c>
      <c r="E319">
        <f>-$B$5*SIN(B319)+$B$6*SIN(B319+C319)+$B$7*SIN($B$4*B319)</f>
        <v/>
      </c>
      <c r="F319" t="inlineStr">
        <is>
          <t>Copy x(t), y(t) into SolidWorks Equation Driven Curve</t>
        </is>
      </c>
    </row>
    <row r="320">
      <c r="A320">
        <f>A319+1</f>
        <v/>
      </c>
      <c r="B320">
        <f>RADIANS(A320)</f>
        <v/>
      </c>
      <c r="C320">
        <f>ATAN2(SIN((1-$B$4)*B320),$B$5/($B$7*$B$4)-COS((1-$B$4)*B320))</f>
        <v/>
      </c>
      <c r="D320">
        <f>$B$5*COS(B320)-$B$6*COS(B320+C320)-$B$7*COS($B$4*B320)</f>
        <v/>
      </c>
      <c r="E320">
        <f>-$B$5*SIN(B320)+$B$6*SIN(B320+C320)+$B$7*SIN($B$4*B320)</f>
        <v/>
      </c>
      <c r="F320" t="inlineStr">
        <is>
          <t>Copy x(t), y(t) into SolidWorks Equation Driven Curve</t>
        </is>
      </c>
    </row>
    <row r="321">
      <c r="A321">
        <f>A320+1</f>
        <v/>
      </c>
      <c r="B321">
        <f>RADIANS(A321)</f>
        <v/>
      </c>
      <c r="C321">
        <f>ATAN2(SIN((1-$B$4)*B321),$B$5/($B$7*$B$4)-COS((1-$B$4)*B321))</f>
        <v/>
      </c>
      <c r="D321">
        <f>$B$5*COS(B321)-$B$6*COS(B321+C321)-$B$7*COS($B$4*B321)</f>
        <v/>
      </c>
      <c r="E321">
        <f>-$B$5*SIN(B321)+$B$6*SIN(B321+C321)+$B$7*SIN($B$4*B321)</f>
        <v/>
      </c>
      <c r="F321" t="inlineStr">
        <is>
          <t>Copy x(t), y(t) into SolidWorks Equation Driven Curve</t>
        </is>
      </c>
    </row>
    <row r="322">
      <c r="A322">
        <f>A321+1</f>
        <v/>
      </c>
      <c r="B322">
        <f>RADIANS(A322)</f>
        <v/>
      </c>
      <c r="C322">
        <f>ATAN2(SIN((1-$B$4)*B322),$B$5/($B$7*$B$4)-COS((1-$B$4)*B322))</f>
        <v/>
      </c>
      <c r="D322">
        <f>$B$5*COS(B322)-$B$6*COS(B322+C322)-$B$7*COS($B$4*B322)</f>
        <v/>
      </c>
      <c r="E322">
        <f>-$B$5*SIN(B322)+$B$6*SIN(B322+C322)+$B$7*SIN($B$4*B322)</f>
        <v/>
      </c>
      <c r="F322" t="inlineStr">
        <is>
          <t>Copy x(t), y(t) into SolidWorks Equation Driven Curve</t>
        </is>
      </c>
    </row>
    <row r="323">
      <c r="A323">
        <f>A322+1</f>
        <v/>
      </c>
      <c r="B323">
        <f>RADIANS(A323)</f>
        <v/>
      </c>
      <c r="C323">
        <f>ATAN2(SIN((1-$B$4)*B323),$B$5/($B$7*$B$4)-COS((1-$B$4)*B323))</f>
        <v/>
      </c>
      <c r="D323">
        <f>$B$5*COS(B323)-$B$6*COS(B323+C323)-$B$7*COS($B$4*B323)</f>
        <v/>
      </c>
      <c r="E323">
        <f>-$B$5*SIN(B323)+$B$6*SIN(B323+C323)+$B$7*SIN($B$4*B323)</f>
        <v/>
      </c>
      <c r="F323" t="inlineStr">
        <is>
          <t>Copy x(t), y(t) into SolidWorks Equation Driven Curve</t>
        </is>
      </c>
    </row>
    <row r="324">
      <c r="A324">
        <f>A323+1</f>
        <v/>
      </c>
      <c r="B324">
        <f>RADIANS(A324)</f>
        <v/>
      </c>
      <c r="C324">
        <f>ATAN2(SIN((1-$B$4)*B324),$B$5/($B$7*$B$4)-COS((1-$B$4)*B324))</f>
        <v/>
      </c>
      <c r="D324">
        <f>$B$5*COS(B324)-$B$6*COS(B324+C324)-$B$7*COS($B$4*B324)</f>
        <v/>
      </c>
      <c r="E324">
        <f>-$B$5*SIN(B324)+$B$6*SIN(B324+C324)+$B$7*SIN($B$4*B324)</f>
        <v/>
      </c>
      <c r="F324" t="inlineStr">
        <is>
          <t>Copy x(t), y(t) into SolidWorks Equation Driven Curve</t>
        </is>
      </c>
    </row>
    <row r="325">
      <c r="A325">
        <f>A324+1</f>
        <v/>
      </c>
      <c r="B325">
        <f>RADIANS(A325)</f>
        <v/>
      </c>
      <c r="C325">
        <f>ATAN2(SIN((1-$B$4)*B325),$B$5/($B$7*$B$4)-COS((1-$B$4)*B325))</f>
        <v/>
      </c>
      <c r="D325">
        <f>$B$5*COS(B325)-$B$6*COS(B325+C325)-$B$7*COS($B$4*B325)</f>
        <v/>
      </c>
      <c r="E325">
        <f>-$B$5*SIN(B325)+$B$6*SIN(B325+C325)+$B$7*SIN($B$4*B325)</f>
        <v/>
      </c>
      <c r="F325" t="inlineStr">
        <is>
          <t>Copy x(t), y(t) into SolidWorks Equation Driven Curve</t>
        </is>
      </c>
    </row>
    <row r="326">
      <c r="A326">
        <f>A325+1</f>
        <v/>
      </c>
      <c r="B326">
        <f>RADIANS(A326)</f>
        <v/>
      </c>
      <c r="C326">
        <f>ATAN2(SIN((1-$B$4)*B326),$B$5/($B$7*$B$4)-COS((1-$B$4)*B326))</f>
        <v/>
      </c>
      <c r="D326">
        <f>$B$5*COS(B326)-$B$6*COS(B326+C326)-$B$7*COS($B$4*B326)</f>
        <v/>
      </c>
      <c r="E326">
        <f>-$B$5*SIN(B326)+$B$6*SIN(B326+C326)+$B$7*SIN($B$4*B326)</f>
        <v/>
      </c>
      <c r="F326" t="inlineStr">
        <is>
          <t>Copy x(t), y(t) into SolidWorks Equation Driven Curve</t>
        </is>
      </c>
    </row>
    <row r="327">
      <c r="A327">
        <f>A326+1</f>
        <v/>
      </c>
      <c r="B327">
        <f>RADIANS(A327)</f>
        <v/>
      </c>
      <c r="C327">
        <f>ATAN2(SIN((1-$B$4)*B327),$B$5/($B$7*$B$4)-COS((1-$B$4)*B327))</f>
        <v/>
      </c>
      <c r="D327">
        <f>$B$5*COS(B327)-$B$6*COS(B327+C327)-$B$7*COS($B$4*B327)</f>
        <v/>
      </c>
      <c r="E327">
        <f>-$B$5*SIN(B327)+$B$6*SIN(B327+C327)+$B$7*SIN($B$4*B327)</f>
        <v/>
      </c>
      <c r="F327" t="inlineStr">
        <is>
          <t>Copy x(t), y(t) into SolidWorks Equation Driven Curve</t>
        </is>
      </c>
    </row>
    <row r="328">
      <c r="A328">
        <f>A327+1</f>
        <v/>
      </c>
      <c r="B328">
        <f>RADIANS(A328)</f>
        <v/>
      </c>
      <c r="C328">
        <f>ATAN2(SIN((1-$B$4)*B328),$B$5/($B$7*$B$4)-COS((1-$B$4)*B328))</f>
        <v/>
      </c>
      <c r="D328">
        <f>$B$5*COS(B328)-$B$6*COS(B328+C328)-$B$7*COS($B$4*B328)</f>
        <v/>
      </c>
      <c r="E328">
        <f>-$B$5*SIN(B328)+$B$6*SIN(B328+C328)+$B$7*SIN($B$4*B328)</f>
        <v/>
      </c>
      <c r="F328" t="inlineStr">
        <is>
          <t>Copy x(t), y(t) into SolidWorks Equation Driven Curve</t>
        </is>
      </c>
    </row>
    <row r="329">
      <c r="A329">
        <f>A328+1</f>
        <v/>
      </c>
      <c r="B329">
        <f>RADIANS(A329)</f>
        <v/>
      </c>
      <c r="C329">
        <f>ATAN2(SIN((1-$B$4)*B329),$B$5/($B$7*$B$4)-COS((1-$B$4)*B329))</f>
        <v/>
      </c>
      <c r="D329">
        <f>$B$5*COS(B329)-$B$6*COS(B329+C329)-$B$7*COS($B$4*B329)</f>
        <v/>
      </c>
      <c r="E329">
        <f>-$B$5*SIN(B329)+$B$6*SIN(B329+C329)+$B$7*SIN($B$4*B329)</f>
        <v/>
      </c>
      <c r="F329" t="inlineStr">
        <is>
          <t>Copy x(t), y(t) into SolidWorks Equation Driven Curve</t>
        </is>
      </c>
    </row>
    <row r="330">
      <c r="A330">
        <f>A329+1</f>
        <v/>
      </c>
      <c r="B330">
        <f>RADIANS(A330)</f>
        <v/>
      </c>
      <c r="C330">
        <f>ATAN2(SIN((1-$B$4)*B330),$B$5/($B$7*$B$4)-COS((1-$B$4)*B330))</f>
        <v/>
      </c>
      <c r="D330">
        <f>$B$5*COS(B330)-$B$6*COS(B330+C330)-$B$7*COS($B$4*B330)</f>
        <v/>
      </c>
      <c r="E330">
        <f>-$B$5*SIN(B330)+$B$6*SIN(B330+C330)+$B$7*SIN($B$4*B330)</f>
        <v/>
      </c>
      <c r="F330" t="inlineStr">
        <is>
          <t>Copy x(t), y(t) into SolidWorks Equation Driven Curve</t>
        </is>
      </c>
    </row>
    <row r="331">
      <c r="A331">
        <f>A330+1</f>
        <v/>
      </c>
      <c r="B331">
        <f>RADIANS(A331)</f>
        <v/>
      </c>
      <c r="C331">
        <f>ATAN2(SIN((1-$B$4)*B331),$B$5/($B$7*$B$4)-COS((1-$B$4)*B331))</f>
        <v/>
      </c>
      <c r="D331">
        <f>$B$5*COS(B331)-$B$6*COS(B331+C331)-$B$7*COS($B$4*B331)</f>
        <v/>
      </c>
      <c r="E331">
        <f>-$B$5*SIN(B331)+$B$6*SIN(B331+C331)+$B$7*SIN($B$4*B331)</f>
        <v/>
      </c>
      <c r="F331" t="inlineStr">
        <is>
          <t>Copy x(t), y(t) into SolidWorks Equation Driven Curve</t>
        </is>
      </c>
    </row>
    <row r="332">
      <c r="A332">
        <f>A331+1</f>
        <v/>
      </c>
      <c r="B332">
        <f>RADIANS(A332)</f>
        <v/>
      </c>
      <c r="C332">
        <f>ATAN2(SIN((1-$B$4)*B332),$B$5/($B$7*$B$4)-COS((1-$B$4)*B332))</f>
        <v/>
      </c>
      <c r="D332">
        <f>$B$5*COS(B332)-$B$6*COS(B332+C332)-$B$7*COS($B$4*B332)</f>
        <v/>
      </c>
      <c r="E332">
        <f>-$B$5*SIN(B332)+$B$6*SIN(B332+C332)+$B$7*SIN($B$4*B332)</f>
        <v/>
      </c>
      <c r="F332" t="inlineStr">
        <is>
          <t>Copy x(t), y(t) into SolidWorks Equation Driven Curve</t>
        </is>
      </c>
    </row>
    <row r="333">
      <c r="A333">
        <f>A332+1</f>
        <v/>
      </c>
      <c r="B333">
        <f>RADIANS(A333)</f>
        <v/>
      </c>
      <c r="C333">
        <f>ATAN2(SIN((1-$B$4)*B333),$B$5/($B$7*$B$4)-COS((1-$B$4)*B333))</f>
        <v/>
      </c>
      <c r="D333">
        <f>$B$5*COS(B333)-$B$6*COS(B333+C333)-$B$7*COS($B$4*B333)</f>
        <v/>
      </c>
      <c r="E333">
        <f>-$B$5*SIN(B333)+$B$6*SIN(B333+C333)+$B$7*SIN($B$4*B333)</f>
        <v/>
      </c>
      <c r="F333" t="inlineStr">
        <is>
          <t>Copy x(t), y(t) into SolidWorks Equation Driven Curve</t>
        </is>
      </c>
    </row>
    <row r="334">
      <c r="A334">
        <f>A333+1</f>
        <v/>
      </c>
      <c r="B334">
        <f>RADIANS(A334)</f>
        <v/>
      </c>
      <c r="C334">
        <f>ATAN2(SIN((1-$B$4)*B334),$B$5/($B$7*$B$4)-COS((1-$B$4)*B334))</f>
        <v/>
      </c>
      <c r="D334">
        <f>$B$5*COS(B334)-$B$6*COS(B334+C334)-$B$7*COS($B$4*B334)</f>
        <v/>
      </c>
      <c r="E334">
        <f>-$B$5*SIN(B334)+$B$6*SIN(B334+C334)+$B$7*SIN($B$4*B334)</f>
        <v/>
      </c>
      <c r="F334" t="inlineStr">
        <is>
          <t>Copy x(t), y(t) into SolidWorks Equation Driven Curve</t>
        </is>
      </c>
    </row>
    <row r="335">
      <c r="A335">
        <f>A334+1</f>
        <v/>
      </c>
      <c r="B335">
        <f>RADIANS(A335)</f>
        <v/>
      </c>
      <c r="C335">
        <f>ATAN2(SIN((1-$B$4)*B335),$B$5/($B$7*$B$4)-COS((1-$B$4)*B335))</f>
        <v/>
      </c>
      <c r="D335">
        <f>$B$5*COS(B335)-$B$6*COS(B335+C335)-$B$7*COS($B$4*B335)</f>
        <v/>
      </c>
      <c r="E335">
        <f>-$B$5*SIN(B335)+$B$6*SIN(B335+C335)+$B$7*SIN($B$4*B335)</f>
        <v/>
      </c>
      <c r="F335" t="inlineStr">
        <is>
          <t>Copy x(t), y(t) into SolidWorks Equation Driven Curve</t>
        </is>
      </c>
    </row>
    <row r="336">
      <c r="A336">
        <f>A335+1</f>
        <v/>
      </c>
      <c r="B336">
        <f>RADIANS(A336)</f>
        <v/>
      </c>
      <c r="C336">
        <f>ATAN2(SIN((1-$B$4)*B336),$B$5/($B$7*$B$4)-COS((1-$B$4)*B336))</f>
        <v/>
      </c>
      <c r="D336">
        <f>$B$5*COS(B336)-$B$6*COS(B336+C336)-$B$7*COS($B$4*B336)</f>
        <v/>
      </c>
      <c r="E336">
        <f>-$B$5*SIN(B336)+$B$6*SIN(B336+C336)+$B$7*SIN($B$4*B336)</f>
        <v/>
      </c>
      <c r="F336" t="inlineStr">
        <is>
          <t>Copy x(t), y(t) into SolidWorks Equation Driven Curve</t>
        </is>
      </c>
    </row>
    <row r="337">
      <c r="A337">
        <f>A336+1</f>
        <v/>
      </c>
      <c r="B337">
        <f>RADIANS(A337)</f>
        <v/>
      </c>
      <c r="C337">
        <f>ATAN2(SIN((1-$B$4)*B337),$B$5/($B$7*$B$4)-COS((1-$B$4)*B337))</f>
        <v/>
      </c>
      <c r="D337">
        <f>$B$5*COS(B337)-$B$6*COS(B337+C337)-$B$7*COS($B$4*B337)</f>
        <v/>
      </c>
      <c r="E337">
        <f>-$B$5*SIN(B337)+$B$6*SIN(B337+C337)+$B$7*SIN($B$4*B337)</f>
        <v/>
      </c>
      <c r="F337" t="inlineStr">
        <is>
          <t>Copy x(t), y(t) into SolidWorks Equation Driven Curve</t>
        </is>
      </c>
    </row>
    <row r="338">
      <c r="A338">
        <f>A337+1</f>
        <v/>
      </c>
      <c r="B338">
        <f>RADIANS(A338)</f>
        <v/>
      </c>
      <c r="C338">
        <f>ATAN2(SIN((1-$B$4)*B338),$B$5/($B$7*$B$4)-COS((1-$B$4)*B338))</f>
        <v/>
      </c>
      <c r="D338">
        <f>$B$5*COS(B338)-$B$6*COS(B338+C338)-$B$7*COS($B$4*B338)</f>
        <v/>
      </c>
      <c r="E338">
        <f>-$B$5*SIN(B338)+$B$6*SIN(B338+C338)+$B$7*SIN($B$4*B338)</f>
        <v/>
      </c>
      <c r="F338" t="inlineStr">
        <is>
          <t>Copy x(t), y(t) into SolidWorks Equation Driven Curve</t>
        </is>
      </c>
    </row>
    <row r="339">
      <c r="A339">
        <f>A338+1</f>
        <v/>
      </c>
      <c r="B339">
        <f>RADIANS(A339)</f>
        <v/>
      </c>
      <c r="C339">
        <f>ATAN2(SIN((1-$B$4)*B339),$B$5/($B$7*$B$4)-COS((1-$B$4)*B339))</f>
        <v/>
      </c>
      <c r="D339">
        <f>$B$5*COS(B339)-$B$6*COS(B339+C339)-$B$7*COS($B$4*B339)</f>
        <v/>
      </c>
      <c r="E339">
        <f>-$B$5*SIN(B339)+$B$6*SIN(B339+C339)+$B$7*SIN($B$4*B339)</f>
        <v/>
      </c>
      <c r="F339" t="inlineStr">
        <is>
          <t>Copy x(t), y(t) into SolidWorks Equation Driven Curve</t>
        </is>
      </c>
    </row>
    <row r="340">
      <c r="A340">
        <f>A339+1</f>
        <v/>
      </c>
      <c r="B340">
        <f>RADIANS(A340)</f>
        <v/>
      </c>
      <c r="C340">
        <f>ATAN2(SIN((1-$B$4)*B340),$B$5/($B$7*$B$4)-COS((1-$B$4)*B340))</f>
        <v/>
      </c>
      <c r="D340">
        <f>$B$5*COS(B340)-$B$6*COS(B340+C340)-$B$7*COS($B$4*B340)</f>
        <v/>
      </c>
      <c r="E340">
        <f>-$B$5*SIN(B340)+$B$6*SIN(B340+C340)+$B$7*SIN($B$4*B340)</f>
        <v/>
      </c>
      <c r="F340" t="inlineStr">
        <is>
          <t>Copy x(t), y(t) into SolidWorks Equation Driven Curve</t>
        </is>
      </c>
    </row>
    <row r="341">
      <c r="A341">
        <f>A340+1</f>
        <v/>
      </c>
      <c r="B341">
        <f>RADIANS(A341)</f>
        <v/>
      </c>
      <c r="C341">
        <f>ATAN2(SIN((1-$B$4)*B341),$B$5/($B$7*$B$4)-COS((1-$B$4)*B341))</f>
        <v/>
      </c>
      <c r="D341">
        <f>$B$5*COS(B341)-$B$6*COS(B341+C341)-$B$7*COS($B$4*B341)</f>
        <v/>
      </c>
      <c r="E341">
        <f>-$B$5*SIN(B341)+$B$6*SIN(B341+C341)+$B$7*SIN($B$4*B341)</f>
        <v/>
      </c>
      <c r="F341" t="inlineStr">
        <is>
          <t>Copy x(t), y(t) into SolidWorks Equation Driven Curve</t>
        </is>
      </c>
    </row>
    <row r="342">
      <c r="A342">
        <f>A341+1</f>
        <v/>
      </c>
      <c r="B342">
        <f>RADIANS(A342)</f>
        <v/>
      </c>
      <c r="C342">
        <f>ATAN2(SIN((1-$B$4)*B342),$B$5/($B$7*$B$4)-COS((1-$B$4)*B342))</f>
        <v/>
      </c>
      <c r="D342">
        <f>$B$5*COS(B342)-$B$6*COS(B342+C342)-$B$7*COS($B$4*B342)</f>
        <v/>
      </c>
      <c r="E342">
        <f>-$B$5*SIN(B342)+$B$6*SIN(B342+C342)+$B$7*SIN($B$4*B342)</f>
        <v/>
      </c>
      <c r="F342" t="inlineStr">
        <is>
          <t>Copy x(t), y(t) into SolidWorks Equation Driven Curve</t>
        </is>
      </c>
    </row>
    <row r="343">
      <c r="A343">
        <f>A342+1</f>
        <v/>
      </c>
      <c r="B343">
        <f>RADIANS(A343)</f>
        <v/>
      </c>
      <c r="C343">
        <f>ATAN2(SIN((1-$B$4)*B343),$B$5/($B$7*$B$4)-COS((1-$B$4)*B343))</f>
        <v/>
      </c>
      <c r="D343">
        <f>$B$5*COS(B343)-$B$6*COS(B343+C343)-$B$7*COS($B$4*B343)</f>
        <v/>
      </c>
      <c r="E343">
        <f>-$B$5*SIN(B343)+$B$6*SIN(B343+C343)+$B$7*SIN($B$4*B343)</f>
        <v/>
      </c>
      <c r="F343" t="inlineStr">
        <is>
          <t>Copy x(t), y(t) into SolidWorks Equation Driven Curve</t>
        </is>
      </c>
    </row>
    <row r="344">
      <c r="A344">
        <f>A343+1</f>
        <v/>
      </c>
      <c r="B344">
        <f>RADIANS(A344)</f>
        <v/>
      </c>
      <c r="C344">
        <f>ATAN2(SIN((1-$B$4)*B344),$B$5/($B$7*$B$4)-COS((1-$B$4)*B344))</f>
        <v/>
      </c>
      <c r="D344">
        <f>$B$5*COS(B344)-$B$6*COS(B344+C344)-$B$7*COS($B$4*B344)</f>
        <v/>
      </c>
      <c r="E344">
        <f>-$B$5*SIN(B344)+$B$6*SIN(B344+C344)+$B$7*SIN($B$4*B344)</f>
        <v/>
      </c>
      <c r="F344" t="inlineStr">
        <is>
          <t>Copy x(t), y(t) into SolidWorks Equation Driven Curve</t>
        </is>
      </c>
    </row>
    <row r="345">
      <c r="A345">
        <f>A344+1</f>
        <v/>
      </c>
      <c r="B345">
        <f>RADIANS(A345)</f>
        <v/>
      </c>
      <c r="C345">
        <f>ATAN2(SIN((1-$B$4)*B345),$B$5/($B$7*$B$4)-COS((1-$B$4)*B345))</f>
        <v/>
      </c>
      <c r="D345">
        <f>$B$5*COS(B345)-$B$6*COS(B345+C345)-$B$7*COS($B$4*B345)</f>
        <v/>
      </c>
      <c r="E345">
        <f>-$B$5*SIN(B345)+$B$6*SIN(B345+C345)+$B$7*SIN($B$4*B345)</f>
        <v/>
      </c>
      <c r="F345" t="inlineStr">
        <is>
          <t>Copy x(t), y(t) into SolidWorks Equation Driven Curve</t>
        </is>
      </c>
    </row>
    <row r="346">
      <c r="A346">
        <f>A345+1</f>
        <v/>
      </c>
      <c r="B346">
        <f>RADIANS(A346)</f>
        <v/>
      </c>
      <c r="C346">
        <f>ATAN2(SIN((1-$B$4)*B346),$B$5/($B$7*$B$4)-COS((1-$B$4)*B346))</f>
        <v/>
      </c>
      <c r="D346">
        <f>$B$5*COS(B346)-$B$6*COS(B346+C346)-$B$7*COS($B$4*B346)</f>
        <v/>
      </c>
      <c r="E346">
        <f>-$B$5*SIN(B346)+$B$6*SIN(B346+C346)+$B$7*SIN($B$4*B346)</f>
        <v/>
      </c>
      <c r="F346" t="inlineStr">
        <is>
          <t>Copy x(t), y(t) into SolidWorks Equation Driven Curve</t>
        </is>
      </c>
    </row>
    <row r="347">
      <c r="A347">
        <f>A346+1</f>
        <v/>
      </c>
      <c r="B347">
        <f>RADIANS(A347)</f>
        <v/>
      </c>
      <c r="C347">
        <f>ATAN2(SIN((1-$B$4)*B347),$B$5/($B$7*$B$4)-COS((1-$B$4)*B347))</f>
        <v/>
      </c>
      <c r="D347">
        <f>$B$5*COS(B347)-$B$6*COS(B347+C347)-$B$7*COS($B$4*B347)</f>
        <v/>
      </c>
      <c r="E347">
        <f>-$B$5*SIN(B347)+$B$6*SIN(B347+C347)+$B$7*SIN($B$4*B347)</f>
        <v/>
      </c>
      <c r="F347" t="inlineStr">
        <is>
          <t>Copy x(t), y(t) into SolidWorks Equation Driven Curve</t>
        </is>
      </c>
    </row>
    <row r="348">
      <c r="A348">
        <f>A347+1</f>
        <v/>
      </c>
      <c r="B348">
        <f>RADIANS(A348)</f>
        <v/>
      </c>
      <c r="C348">
        <f>ATAN2(SIN((1-$B$4)*B348),$B$5/($B$7*$B$4)-COS((1-$B$4)*B348))</f>
        <v/>
      </c>
      <c r="D348">
        <f>$B$5*COS(B348)-$B$6*COS(B348+C348)-$B$7*COS($B$4*B348)</f>
        <v/>
      </c>
      <c r="E348">
        <f>-$B$5*SIN(B348)+$B$6*SIN(B348+C348)+$B$7*SIN($B$4*B348)</f>
        <v/>
      </c>
      <c r="F348" t="inlineStr">
        <is>
          <t>Copy x(t), y(t) into SolidWorks Equation Driven Curve</t>
        </is>
      </c>
    </row>
    <row r="349">
      <c r="A349">
        <f>A348+1</f>
        <v/>
      </c>
      <c r="B349">
        <f>RADIANS(A349)</f>
        <v/>
      </c>
      <c r="C349">
        <f>ATAN2(SIN((1-$B$4)*B349),$B$5/($B$7*$B$4)-COS((1-$B$4)*B349))</f>
        <v/>
      </c>
      <c r="D349">
        <f>$B$5*COS(B349)-$B$6*COS(B349+C349)-$B$7*COS($B$4*B349)</f>
        <v/>
      </c>
      <c r="E349">
        <f>-$B$5*SIN(B349)+$B$6*SIN(B349+C349)+$B$7*SIN($B$4*B349)</f>
        <v/>
      </c>
      <c r="F349" t="inlineStr">
        <is>
          <t>Copy x(t), y(t) into SolidWorks Equation Driven Curve</t>
        </is>
      </c>
    </row>
    <row r="350">
      <c r="A350">
        <f>A349+1</f>
        <v/>
      </c>
      <c r="B350">
        <f>RADIANS(A350)</f>
        <v/>
      </c>
      <c r="C350">
        <f>ATAN2(SIN((1-$B$4)*B350),$B$5/($B$7*$B$4)-COS((1-$B$4)*B350))</f>
        <v/>
      </c>
      <c r="D350">
        <f>$B$5*COS(B350)-$B$6*COS(B350+C350)-$B$7*COS($B$4*B350)</f>
        <v/>
      </c>
      <c r="E350">
        <f>-$B$5*SIN(B350)+$B$6*SIN(B350+C350)+$B$7*SIN($B$4*B350)</f>
        <v/>
      </c>
      <c r="F350" t="inlineStr">
        <is>
          <t>Copy x(t), y(t) into SolidWorks Equation Driven Curve</t>
        </is>
      </c>
    </row>
    <row r="351">
      <c r="A351">
        <f>A350+1</f>
        <v/>
      </c>
      <c r="B351">
        <f>RADIANS(A351)</f>
        <v/>
      </c>
      <c r="C351">
        <f>ATAN2(SIN((1-$B$4)*B351),$B$5/($B$7*$B$4)-COS((1-$B$4)*B351))</f>
        <v/>
      </c>
      <c r="D351">
        <f>$B$5*COS(B351)-$B$6*COS(B351+C351)-$B$7*COS($B$4*B351)</f>
        <v/>
      </c>
      <c r="E351">
        <f>-$B$5*SIN(B351)+$B$6*SIN(B351+C351)+$B$7*SIN($B$4*B351)</f>
        <v/>
      </c>
      <c r="F351" t="inlineStr">
        <is>
          <t>Copy x(t), y(t) into SolidWorks Equation Driven Curve</t>
        </is>
      </c>
    </row>
    <row r="352">
      <c r="A352">
        <f>A351+1</f>
        <v/>
      </c>
      <c r="B352">
        <f>RADIANS(A352)</f>
        <v/>
      </c>
      <c r="C352">
        <f>ATAN2(SIN((1-$B$4)*B352),$B$5/($B$7*$B$4)-COS((1-$B$4)*B352))</f>
        <v/>
      </c>
      <c r="D352">
        <f>$B$5*COS(B352)-$B$6*COS(B352+C352)-$B$7*COS($B$4*B352)</f>
        <v/>
      </c>
      <c r="E352">
        <f>-$B$5*SIN(B352)+$B$6*SIN(B352+C352)+$B$7*SIN($B$4*B352)</f>
        <v/>
      </c>
      <c r="F352" t="inlineStr">
        <is>
          <t>Copy x(t), y(t) into SolidWorks Equation Driven Curve</t>
        </is>
      </c>
    </row>
    <row r="353">
      <c r="A353">
        <f>A352+1</f>
        <v/>
      </c>
      <c r="B353">
        <f>RADIANS(A353)</f>
        <v/>
      </c>
      <c r="C353">
        <f>ATAN2(SIN((1-$B$4)*B353),$B$5/($B$7*$B$4)-COS((1-$B$4)*B353))</f>
        <v/>
      </c>
      <c r="D353">
        <f>$B$5*COS(B353)-$B$6*COS(B353+C353)-$B$7*COS($B$4*B353)</f>
        <v/>
      </c>
      <c r="E353">
        <f>-$B$5*SIN(B353)+$B$6*SIN(B353+C353)+$B$7*SIN($B$4*B353)</f>
        <v/>
      </c>
      <c r="F353" t="inlineStr">
        <is>
          <t>Copy x(t), y(t) into SolidWorks Equation Driven Curve</t>
        </is>
      </c>
    </row>
    <row r="354">
      <c r="A354">
        <f>A353+1</f>
        <v/>
      </c>
      <c r="B354">
        <f>RADIANS(A354)</f>
        <v/>
      </c>
      <c r="C354">
        <f>ATAN2(SIN((1-$B$4)*B354),$B$5/($B$7*$B$4)-COS((1-$B$4)*B354))</f>
        <v/>
      </c>
      <c r="D354">
        <f>$B$5*COS(B354)-$B$6*COS(B354+C354)-$B$7*COS($B$4*B354)</f>
        <v/>
      </c>
      <c r="E354">
        <f>-$B$5*SIN(B354)+$B$6*SIN(B354+C354)+$B$7*SIN($B$4*B354)</f>
        <v/>
      </c>
      <c r="F354" t="inlineStr">
        <is>
          <t>Copy x(t), y(t) into SolidWorks Equation Driven Curve</t>
        </is>
      </c>
    </row>
    <row r="355">
      <c r="A355">
        <f>A354+1</f>
        <v/>
      </c>
      <c r="B355">
        <f>RADIANS(A355)</f>
        <v/>
      </c>
      <c r="C355">
        <f>ATAN2(SIN((1-$B$4)*B355),$B$5/($B$7*$B$4)-COS((1-$B$4)*B355))</f>
        <v/>
      </c>
      <c r="D355">
        <f>$B$5*COS(B355)-$B$6*COS(B355+C355)-$B$7*COS($B$4*B355)</f>
        <v/>
      </c>
      <c r="E355">
        <f>-$B$5*SIN(B355)+$B$6*SIN(B355+C355)+$B$7*SIN($B$4*B355)</f>
        <v/>
      </c>
      <c r="F355" t="inlineStr">
        <is>
          <t>Copy x(t), y(t) into SolidWorks Equation Driven Curve</t>
        </is>
      </c>
    </row>
    <row r="356">
      <c r="A356">
        <f>A355+1</f>
        <v/>
      </c>
      <c r="B356">
        <f>RADIANS(A356)</f>
        <v/>
      </c>
      <c r="C356">
        <f>ATAN2(SIN((1-$B$4)*B356),$B$5/($B$7*$B$4)-COS((1-$B$4)*B356))</f>
        <v/>
      </c>
      <c r="D356">
        <f>$B$5*COS(B356)-$B$6*COS(B356+C356)-$B$7*COS($B$4*B356)</f>
        <v/>
      </c>
      <c r="E356">
        <f>-$B$5*SIN(B356)+$B$6*SIN(B356+C356)+$B$7*SIN($B$4*B356)</f>
        <v/>
      </c>
      <c r="F356" t="inlineStr">
        <is>
          <t>Copy x(t), y(t) into SolidWorks Equation Driven Curve</t>
        </is>
      </c>
    </row>
    <row r="357">
      <c r="A357">
        <f>A356+1</f>
        <v/>
      </c>
      <c r="B357">
        <f>RADIANS(A357)</f>
        <v/>
      </c>
      <c r="C357">
        <f>ATAN2(SIN((1-$B$4)*B357),$B$5/($B$7*$B$4)-COS((1-$B$4)*B357))</f>
        <v/>
      </c>
      <c r="D357">
        <f>$B$5*COS(B357)-$B$6*COS(B357+C357)-$B$7*COS($B$4*B357)</f>
        <v/>
      </c>
      <c r="E357">
        <f>-$B$5*SIN(B357)+$B$6*SIN(B357+C357)+$B$7*SIN($B$4*B357)</f>
        <v/>
      </c>
      <c r="F357" t="inlineStr">
        <is>
          <t>Copy x(t), y(t) into SolidWorks Equation Driven Curve</t>
        </is>
      </c>
    </row>
    <row r="358">
      <c r="A358">
        <f>A357+1</f>
        <v/>
      </c>
      <c r="B358">
        <f>RADIANS(A358)</f>
        <v/>
      </c>
      <c r="C358">
        <f>ATAN2(SIN((1-$B$4)*B358),$B$5/($B$7*$B$4)-COS((1-$B$4)*B358))</f>
        <v/>
      </c>
      <c r="D358">
        <f>$B$5*COS(B358)-$B$6*COS(B358+C358)-$B$7*COS($B$4*B358)</f>
        <v/>
      </c>
      <c r="E358">
        <f>-$B$5*SIN(B358)+$B$6*SIN(B358+C358)+$B$7*SIN($B$4*B358)</f>
        <v/>
      </c>
      <c r="F358" t="inlineStr">
        <is>
          <t>Copy x(t), y(t) into SolidWorks Equation Driven Curve</t>
        </is>
      </c>
    </row>
    <row r="359">
      <c r="A359">
        <f>A358+1</f>
        <v/>
      </c>
      <c r="B359">
        <f>RADIANS(A359)</f>
        <v/>
      </c>
      <c r="C359">
        <f>ATAN2(SIN((1-$B$4)*B359),$B$5/($B$7*$B$4)-COS((1-$B$4)*B359))</f>
        <v/>
      </c>
      <c r="D359">
        <f>$B$5*COS(B359)-$B$6*COS(B359+C359)-$B$7*COS($B$4*B359)</f>
        <v/>
      </c>
      <c r="E359">
        <f>-$B$5*SIN(B359)+$B$6*SIN(B359+C359)+$B$7*SIN($B$4*B359)</f>
        <v/>
      </c>
      <c r="F359" t="inlineStr">
        <is>
          <t>Copy x(t), y(t) into SolidWorks Equation Driven Curve</t>
        </is>
      </c>
    </row>
    <row r="360">
      <c r="A360">
        <f>A359+1</f>
        <v/>
      </c>
      <c r="B360">
        <f>RADIANS(A360)</f>
        <v/>
      </c>
      <c r="C360">
        <f>ATAN2(SIN((1-$B$4)*B360),$B$5/($B$7*$B$4)-COS((1-$B$4)*B360))</f>
        <v/>
      </c>
      <c r="D360">
        <f>$B$5*COS(B360)-$B$6*COS(B360+C360)-$B$7*COS($B$4*B360)</f>
        <v/>
      </c>
      <c r="E360">
        <f>-$B$5*SIN(B360)+$B$6*SIN(B360+C360)+$B$7*SIN($B$4*B360)</f>
        <v/>
      </c>
      <c r="F360" t="inlineStr">
        <is>
          <t>Copy x(t), y(t) into SolidWorks Equation Driven Curve</t>
        </is>
      </c>
    </row>
    <row r="361">
      <c r="A361">
        <f>A360+1</f>
        <v/>
      </c>
      <c r="B361">
        <f>RADIANS(A361)</f>
        <v/>
      </c>
      <c r="C361">
        <f>ATAN2(SIN((1-$B$4)*B361),$B$5/($B$7*$B$4)-COS((1-$B$4)*B361))</f>
        <v/>
      </c>
      <c r="D361">
        <f>$B$5*COS(B361)-$B$6*COS(B361+C361)-$B$7*COS($B$4*B361)</f>
        <v/>
      </c>
      <c r="E361">
        <f>-$B$5*SIN(B361)+$B$6*SIN(B361+C361)+$B$7*SIN($B$4*B361)</f>
        <v/>
      </c>
      <c r="F361" t="inlineStr">
        <is>
          <t>Copy x(t), y(t) into SolidWorks Equation Driven Curve</t>
        </is>
      </c>
    </row>
    <row r="362">
      <c r="A362">
        <f>A361+1</f>
        <v/>
      </c>
      <c r="B362">
        <f>RADIANS(A362)</f>
        <v/>
      </c>
      <c r="C362">
        <f>ATAN2(SIN((1-$B$4)*B362),$B$5/($B$7*$B$4)-COS((1-$B$4)*B362))</f>
        <v/>
      </c>
      <c r="D362">
        <f>$B$5*COS(B362)-$B$6*COS(B362+C362)-$B$7*COS($B$4*B362)</f>
        <v/>
      </c>
      <c r="E362">
        <f>-$B$5*SIN(B362)+$B$6*SIN(B362+C362)+$B$7*SIN($B$4*B362)</f>
        <v/>
      </c>
      <c r="F362" t="inlineStr">
        <is>
          <t>Copy x(t), y(t) into SolidWorks Equation Driven Curve</t>
        </is>
      </c>
    </row>
    <row r="363">
      <c r="A363">
        <f>A362+1</f>
        <v/>
      </c>
      <c r="B363">
        <f>RADIANS(A363)</f>
        <v/>
      </c>
      <c r="C363">
        <f>ATAN2(SIN((1-$B$4)*B363),$B$5/($B$7*$B$4)-COS((1-$B$4)*B363))</f>
        <v/>
      </c>
      <c r="D363">
        <f>$B$5*COS(B363)-$B$6*COS(B363+C363)-$B$7*COS($B$4*B363)</f>
        <v/>
      </c>
      <c r="E363">
        <f>-$B$5*SIN(B363)+$B$6*SIN(B363+C363)+$B$7*SIN($B$4*B363)</f>
        <v/>
      </c>
      <c r="F363" t="inlineStr">
        <is>
          <t>Copy x(t), y(t) into SolidWorks Equation Driven Curve</t>
        </is>
      </c>
    </row>
    <row r="364">
      <c r="A364">
        <f>A363+1</f>
        <v/>
      </c>
      <c r="B364">
        <f>RADIANS(A364)</f>
        <v/>
      </c>
      <c r="C364">
        <f>ATAN2(SIN((1-$B$4)*B364),$B$5/($B$7*$B$4)-COS((1-$B$4)*B364))</f>
        <v/>
      </c>
      <c r="D364">
        <f>$B$5*COS(B364)-$B$6*COS(B364+C364)-$B$7*COS($B$4*B364)</f>
        <v/>
      </c>
      <c r="E364">
        <f>-$B$5*SIN(B364)+$B$6*SIN(B364+C364)+$B$7*SIN($B$4*B364)</f>
        <v/>
      </c>
      <c r="F364" t="inlineStr">
        <is>
          <t>Copy x(t), y(t) into SolidWorks Equation Driven Curve</t>
        </is>
      </c>
    </row>
    <row r="365">
      <c r="A365">
        <f>A364+1</f>
        <v/>
      </c>
      <c r="B365">
        <f>RADIANS(A365)</f>
        <v/>
      </c>
      <c r="C365">
        <f>ATAN2(SIN((1-$B$4)*B365),$B$5/($B$7*$B$4)-COS((1-$B$4)*B365))</f>
        <v/>
      </c>
      <c r="D365">
        <f>$B$5*COS(B365)-$B$6*COS(B365+C365)-$B$7*COS($B$4*B365)</f>
        <v/>
      </c>
      <c r="E365">
        <f>-$B$5*SIN(B365)+$B$6*SIN(B365+C365)+$B$7*SIN($B$4*B365)</f>
        <v/>
      </c>
      <c r="F365" t="inlineStr">
        <is>
          <t>Copy x(t), y(t) into SolidWorks Equation Driven Curve</t>
        </is>
      </c>
    </row>
    <row r="366">
      <c r="A366">
        <f>A365+1</f>
        <v/>
      </c>
      <c r="B366">
        <f>RADIANS(A366)</f>
        <v/>
      </c>
      <c r="C366">
        <f>ATAN2(SIN((1-$B$4)*B366),$B$5/($B$7*$B$4)-COS((1-$B$4)*B366))</f>
        <v/>
      </c>
      <c r="D366">
        <f>$B$5*COS(B366)-$B$6*COS(B366+C366)-$B$7*COS($B$4*B366)</f>
        <v/>
      </c>
      <c r="E366">
        <f>-$B$5*SIN(B366)+$B$6*SIN(B366+C366)+$B$7*SIN($B$4*B366)</f>
        <v/>
      </c>
      <c r="F366" t="inlineStr">
        <is>
          <t>Copy x(t), y(t) into SolidWorks Equation Driven Curve</t>
        </is>
      </c>
    </row>
    <row r="367">
      <c r="A367">
        <f>A366+1</f>
        <v/>
      </c>
      <c r="B367">
        <f>RADIANS(A367)</f>
        <v/>
      </c>
      <c r="C367">
        <f>ATAN2(SIN((1-$B$4)*B367),$B$5/($B$7*$B$4)-COS((1-$B$4)*B367))</f>
        <v/>
      </c>
      <c r="D367">
        <f>$B$5*COS(B367)-$B$6*COS(B367+C367)-$B$7*COS($B$4*B367)</f>
        <v/>
      </c>
      <c r="E367">
        <f>-$B$5*SIN(B367)+$B$6*SIN(B367+C367)+$B$7*SIN($B$4*B367)</f>
        <v/>
      </c>
      <c r="F367" t="inlineStr">
        <is>
          <t>Copy x(t), y(t) into SolidWorks Equation Driven Curve</t>
        </is>
      </c>
    </row>
    <row r="368">
      <c r="A368">
        <f>A367+1</f>
        <v/>
      </c>
      <c r="B368">
        <f>RADIANS(A368)</f>
        <v/>
      </c>
      <c r="C368">
        <f>ATAN2(SIN((1-$B$4)*B368),$B$5/($B$7*$B$4)-COS((1-$B$4)*B368))</f>
        <v/>
      </c>
      <c r="D368">
        <f>$B$5*COS(B368)-$B$6*COS(B368+C368)-$B$7*COS($B$4*B368)</f>
        <v/>
      </c>
      <c r="E368">
        <f>-$B$5*SIN(B368)+$B$6*SIN(B368+C368)+$B$7*SIN($B$4*B368)</f>
        <v/>
      </c>
      <c r="F368" t="inlineStr">
        <is>
          <t>Copy x(t), y(t) into SolidWorks Equation Driven Curve</t>
        </is>
      </c>
    </row>
    <row r="369">
      <c r="A369">
        <f>A368+1</f>
        <v/>
      </c>
      <c r="B369">
        <f>RADIANS(A369)</f>
        <v/>
      </c>
      <c r="C369">
        <f>ATAN2(SIN((1-$B$4)*B369),$B$5/($B$7*$B$4)-COS((1-$B$4)*B369))</f>
        <v/>
      </c>
      <c r="D369">
        <f>$B$5*COS(B369)-$B$6*COS(B369+C369)-$B$7*COS($B$4*B369)</f>
        <v/>
      </c>
      <c r="E369">
        <f>-$B$5*SIN(B369)+$B$6*SIN(B369+C369)+$B$7*SIN($B$4*B369)</f>
        <v/>
      </c>
      <c r="F369" t="inlineStr">
        <is>
          <t>Copy x(t), y(t) into SolidWorks Equation Driven Curve</t>
        </is>
      </c>
    </row>
    <row r="370">
      <c r="A370">
        <f>A369+1</f>
        <v/>
      </c>
      <c r="B370">
        <f>RADIANS(A370)</f>
        <v/>
      </c>
      <c r="C370">
        <f>ATAN2(SIN((1-$B$4)*B370),$B$5/($B$7*$B$4)-COS((1-$B$4)*B370))</f>
        <v/>
      </c>
      <c r="D370">
        <f>$B$5*COS(B370)-$B$6*COS(B370+C370)-$B$7*COS($B$4*B370)</f>
        <v/>
      </c>
      <c r="E370">
        <f>-$B$5*SIN(B370)+$B$6*SIN(B370+C370)+$B$7*SIN($B$4*B370)</f>
        <v/>
      </c>
      <c r="F370" t="inlineStr">
        <is>
          <t>Copy x(t), y(t) into SolidWorks Equation Driven Curve</t>
        </is>
      </c>
    </row>
    <row r="371">
      <c r="A371">
        <f>A370+1</f>
        <v/>
      </c>
      <c r="B371">
        <f>RADIANS(A371)</f>
        <v/>
      </c>
      <c r="C371">
        <f>ATAN2(SIN((1-$B$4)*B371),$B$5/($B$7*$B$4)-COS((1-$B$4)*B371))</f>
        <v/>
      </c>
      <c r="D371">
        <f>$B$5*COS(B371)-$B$6*COS(B371+C371)-$B$7*COS($B$4*B371)</f>
        <v/>
      </c>
      <c r="E371">
        <f>-$B$5*SIN(B371)+$B$6*SIN(B371+C371)+$B$7*SIN($B$4*B371)</f>
        <v/>
      </c>
      <c r="F371" t="inlineStr">
        <is>
          <t>Copy x(t), y(t) into SolidWorks Equation Driven Curve</t>
        </is>
      </c>
    </row>
    <row r="372">
      <c r="A372">
        <f>A371+1</f>
        <v/>
      </c>
      <c r="B372">
        <f>RADIANS(A372)</f>
        <v/>
      </c>
      <c r="C372">
        <f>ATAN2(SIN((1-$B$4)*B372),$B$5/($B$7*$B$4)-COS((1-$B$4)*B372))</f>
        <v/>
      </c>
      <c r="D372">
        <f>$B$5*COS(B372)-$B$6*COS(B372+C372)-$B$7*COS($B$4*B372)</f>
        <v/>
      </c>
      <c r="E372">
        <f>-$B$5*SIN(B372)+$B$6*SIN(B372+C372)+$B$7*SIN($B$4*B372)</f>
        <v/>
      </c>
      <c r="F372" t="inlineStr">
        <is>
          <t>Copy x(t), y(t) into SolidWorks Equation Driven Curve</t>
        </is>
      </c>
    </row>
    <row r="373">
      <c r="A373">
        <f>A372+1</f>
        <v/>
      </c>
      <c r="B373">
        <f>RADIANS(A373)</f>
        <v/>
      </c>
      <c r="C373">
        <f>ATAN2(SIN((1-$B$4)*B373),$B$5/($B$7*$B$4)-COS((1-$B$4)*B373))</f>
        <v/>
      </c>
      <c r="D373">
        <f>$B$5*COS(B373)-$B$6*COS(B373+C373)-$B$7*COS($B$4*B373)</f>
        <v/>
      </c>
      <c r="E373">
        <f>-$B$5*SIN(B373)+$B$6*SIN(B373+C373)+$B$7*SIN($B$4*B373)</f>
        <v/>
      </c>
      <c r="F373" t="inlineStr">
        <is>
          <t>Copy x(t), y(t) into SolidWorks Equation Driven Curve</t>
        </is>
      </c>
    </row>
    <row r="374">
      <c r="A374">
        <f>A373+1</f>
        <v/>
      </c>
      <c r="B374">
        <f>RADIANS(A374)</f>
        <v/>
      </c>
      <c r="C374">
        <f>ATAN2(SIN((1-$B$4)*B374),$B$5/($B$7*$B$4)-COS((1-$B$4)*B374))</f>
        <v/>
      </c>
      <c r="D374">
        <f>$B$5*COS(B374)-$B$6*COS(B374+C374)-$B$7*COS($B$4*B374)</f>
        <v/>
      </c>
      <c r="E374">
        <f>-$B$5*SIN(B374)+$B$6*SIN(B374+C374)+$B$7*SIN($B$4*B374)</f>
        <v/>
      </c>
      <c r="F374" t="inlineStr">
        <is>
          <t>Copy x(t), y(t) into SolidWorks Equation Driven Curve</t>
        </is>
      </c>
    </row>
    <row r="375">
      <c r="A375">
        <f>A374+1</f>
        <v/>
      </c>
      <c r="B375">
        <f>RADIANS(A375)</f>
        <v/>
      </c>
      <c r="C375">
        <f>ATAN2(SIN((1-$B$4)*B375),$B$5/($B$7*$B$4)-COS((1-$B$4)*B375))</f>
        <v/>
      </c>
      <c r="D375">
        <f>$B$5*COS(B375)-$B$6*COS(B375+C375)-$B$7*COS($B$4*B375)</f>
        <v/>
      </c>
      <c r="E375">
        <f>-$B$5*SIN(B375)+$B$6*SIN(B375+C375)+$B$7*SIN($B$4*B375)</f>
        <v/>
      </c>
      <c r="F375" t="inlineStr">
        <is>
          <t>Copy x(t), y(t) into SolidWorks Equation Driven Curve</t>
        </is>
      </c>
    </row>
    <row r="376">
      <c r="A376">
        <f>A375+1</f>
        <v/>
      </c>
      <c r="B376">
        <f>RADIANS(A376)</f>
        <v/>
      </c>
      <c r="C376">
        <f>ATAN2(SIN((1-$B$4)*B376),$B$5/($B$7*$B$4)-COS((1-$B$4)*B376))</f>
        <v/>
      </c>
      <c r="D376">
        <f>$B$5*COS(B376)-$B$6*COS(B376+C376)-$B$7*COS($B$4*B376)</f>
        <v/>
      </c>
      <c r="E376">
        <f>-$B$5*SIN(B376)+$B$6*SIN(B376+C376)+$B$7*SIN($B$4*B376)</f>
        <v/>
      </c>
      <c r="F376" t="inlineStr">
        <is>
          <t>Copy x(t), y(t) into SolidWorks Equation Driven Curve</t>
        </is>
      </c>
    </row>
    <row r="377">
      <c r="A377">
        <f>A376+1</f>
        <v/>
      </c>
      <c r="B377">
        <f>RADIANS(A377)</f>
        <v/>
      </c>
      <c r="C377">
        <f>ATAN2(SIN((1-$B$4)*B377),$B$5/($B$7*$B$4)-COS((1-$B$4)*B377))</f>
        <v/>
      </c>
      <c r="D377">
        <f>$B$5*COS(B377)-$B$6*COS(B377+C377)-$B$7*COS($B$4*B377)</f>
        <v/>
      </c>
      <c r="E377">
        <f>-$B$5*SIN(B377)+$B$6*SIN(B377+C377)+$B$7*SIN($B$4*B377)</f>
        <v/>
      </c>
      <c r="F377" t="inlineStr">
        <is>
          <t>Copy x(t), y(t) into SolidWorks Equation Driven Curve</t>
        </is>
      </c>
    </row>
    <row r="378">
      <c r="A378">
        <f>A377+1</f>
        <v/>
      </c>
      <c r="B378">
        <f>RADIANS(A378)</f>
        <v/>
      </c>
      <c r="C378">
        <f>ATAN2(SIN((1-$B$4)*B378),$B$5/($B$7*$B$4)-COS((1-$B$4)*B378))</f>
        <v/>
      </c>
      <c r="D378">
        <f>$B$5*COS(B378)-$B$6*COS(B378+C378)-$B$7*COS($B$4*B378)</f>
        <v/>
      </c>
      <c r="E378">
        <f>-$B$5*SIN(B378)+$B$6*SIN(B378+C378)+$B$7*SIN($B$4*B378)</f>
        <v/>
      </c>
      <c r="F378" t="inlineStr">
        <is>
          <t>Copy x(t), y(t) into SolidWorks Equation Driven Curve</t>
        </is>
      </c>
    </row>
    <row r="379">
      <c r="A379">
        <f>A378+1</f>
        <v/>
      </c>
      <c r="B379">
        <f>RADIANS(A379)</f>
        <v/>
      </c>
      <c r="C379">
        <f>ATAN2(SIN((1-$B$4)*B379),$B$5/($B$7*$B$4)-COS((1-$B$4)*B379))</f>
        <v/>
      </c>
      <c r="D379">
        <f>$B$5*COS(B379)-$B$6*COS(B379+C379)-$B$7*COS($B$4*B379)</f>
        <v/>
      </c>
      <c r="E379">
        <f>-$B$5*SIN(B379)+$B$6*SIN(B379+C379)+$B$7*SIN($B$4*B379)</f>
        <v/>
      </c>
      <c r="F379" t="inlineStr">
        <is>
          <t>Copy x(t), y(t) into SolidWorks Equation Driven Curve</t>
        </is>
      </c>
    </row>
  </sheetData>
  <mergeCells count="2">
    <mergeCell ref="A1:G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40" customWidth="1" min="4" max="4"/>
    <col width="26" customWidth="1" min="5" max="5"/>
    <col width="16" customWidth="1" min="6" max="6"/>
    <col width="28" customWidth="1" min="7" max="7"/>
  </cols>
  <sheetData>
    <row r="1" ht="25" customHeight="1">
      <c r="A1" s="1" t="inlineStr">
        <is>
          <t>Phase 1B Test Plan and Acceptance Criteria</t>
        </is>
      </c>
    </row>
    <row r="3" ht="30" customHeight="1">
      <c r="A3" s="4" t="inlineStr">
        <is>
          <t>Test ID</t>
        </is>
      </c>
      <c r="B3" s="4" t="inlineStr">
        <is>
          <t>Test</t>
        </is>
      </c>
      <c r="C3" s="4" t="inlineStr">
        <is>
          <t>Controlled inputs</t>
        </is>
      </c>
      <c r="D3" s="4" t="inlineStr">
        <is>
          <t>Record outputs</t>
        </is>
      </c>
      <c r="E3" s="4" t="inlineStr">
        <is>
          <t>Acceptance / decision</t>
        </is>
      </c>
      <c r="F3" s="4" t="inlineStr">
        <is>
          <t>Status</t>
        </is>
      </c>
      <c r="G3" s="4" t="inlineStr">
        <is>
          <t>Notes</t>
        </is>
      </c>
    </row>
    <row r="4">
      <c r="A4" s="3" t="inlineStr">
        <is>
          <t>P1B-01</t>
        </is>
      </c>
      <c r="B4" s="3" t="inlineStr">
        <is>
          <t>Hand-turn inspection</t>
        </is>
      </c>
      <c r="C4" s="3" t="inlineStr">
        <is>
          <t>Unpowered, before then after light grease</t>
        </is>
      </c>
      <c r="D4" s="3" t="inlineStr">
        <is>
          <t>Tight-spot angle and direction</t>
        </is>
      </c>
      <c r="E4" s="3" t="inlineStr">
        <is>
          <t>No bind through full input revolution</t>
        </is>
      </c>
      <c r="F4" s="3" t="inlineStr">
        <is>
          <t>Planned</t>
        </is>
      </c>
      <c r="G4" s="3" t="inlineStr">
        <is>
          <t>Repeat whenever assembly changes</t>
        </is>
      </c>
    </row>
    <row r="5">
      <c r="A5" s="2" t="inlineStr">
        <is>
          <t>P1B-02</t>
        </is>
      </c>
      <c r="B5" s="2" t="inlineStr">
        <is>
          <t>Output encoder by hand</t>
        </is>
      </c>
      <c r="C5" s="2" t="inlineStr">
        <is>
          <t>Magnet gap and output rotation</t>
        </is>
      </c>
      <c r="D5" s="2" t="inlineStr">
        <is>
          <t>AGC, magnet state, 360 deg continuity</t>
        </is>
      </c>
      <c r="E5" s="2" t="inlineStr">
        <is>
          <t>No status loss or angle jumps</t>
        </is>
      </c>
      <c r="F5" s="2" t="inlineStr">
        <is>
          <t>Pending</t>
        </is>
      </c>
      <c r="G5" s="2" t="inlineStr">
        <is>
          <t>Run app_01_encoder_test before motor power</t>
        </is>
      </c>
    </row>
    <row r="6">
      <c r="A6" s="3" t="inlineStr">
        <is>
          <t>P1B-03</t>
        </is>
      </c>
      <c r="B6" s="3" t="inlineStr">
        <is>
          <t>Direct-step reducer inspection</t>
        </is>
      </c>
      <c r="C6" s="3" t="inlineStr">
        <is>
          <t>app_10_reducer_bench; 160 then 1600 motor-step jogs</t>
        </is>
      </c>
      <c r="D6" s="3" t="inlineStr">
        <is>
          <t>Output direction, AS5600 motion, noise, I2C errors</t>
        </is>
      </c>
      <c r="E6" s="3" t="inlineStr">
        <is>
          <t>No binding, heat, or encoder fault</t>
        </is>
      </c>
      <c r="F6" s="3" t="inlineStr">
        <is>
          <t>Planned</t>
        </is>
      </c>
      <c r="G6" s="3" t="inlineStr">
        <is>
          <t>GEAR_RATIO intentionally unused</t>
        </is>
      </c>
    </row>
    <row r="7">
      <c r="A7" s="2" t="inlineStr">
        <is>
          <t>P1B-04</t>
        </is>
      </c>
      <c r="B7" s="2" t="inlineStr">
        <is>
          <t>Unloaded run-in</t>
        </is>
      </c>
      <c r="C7" s="2" t="inlineStr">
        <is>
          <t>Verified driver current, input RPM, duration, direction</t>
        </is>
      </c>
      <c r="D7" s="2" t="inlineStr">
        <is>
          <t>Temperature, current, noise, resistance before/after</t>
        </is>
      </c>
      <c r="E7" s="2" t="inlineStr">
        <is>
          <t>10-15 min each direction; stop on binding or rapid heat</t>
        </is>
      </c>
      <c r="F7" s="2" t="inlineStr">
        <is>
          <t>Planned</t>
        </is>
      </c>
      <c r="G7" s="2" t="inlineStr">
        <is>
          <t>Wipe plastic debris before final grease</t>
        </is>
      </c>
    </row>
    <row r="8">
      <c r="A8" s="3" t="inlineStr">
        <is>
          <t>P1B-05</t>
        </is>
      </c>
      <c r="B8" s="3" t="inlineStr">
        <is>
          <t>Actual ratio</t>
        </is>
      </c>
      <c r="C8" s="3" t="inlineStr">
        <is>
          <t>Mark input/output; count input turns</t>
        </is>
      </c>
      <c r="D8" s="3" t="inlineStr">
        <is>
          <t>Input turns per output turn</t>
        </is>
      </c>
      <c r="E8" s="3" t="inlineStr">
        <is>
          <t>Measured value becomes firmware GEAR_RATIO</t>
        </is>
      </c>
      <c r="F8" s="3" t="inlineStr">
        <is>
          <t>Planned</t>
        </is>
      </c>
      <c r="G8" s="3" t="inlineStr">
        <is>
          <t>Do not use nominal 15:1 without this</t>
        </is>
      </c>
    </row>
    <row r="9">
      <c r="A9" s="2" t="inlineStr">
        <is>
          <t>P1B-06</t>
        </is>
      </c>
      <c r="B9" s="2" t="inlineStr">
        <is>
          <t>Backlash</t>
        </is>
      </c>
      <c r="C9" s="2" t="inlineStr">
        <is>
          <t>Output vertical or counterbalanced; 100 mm lever</t>
        </is>
      </c>
      <c r="D9" s="2" t="inlineStr">
        <is>
          <t>Dial displacement and AS5600 angle, both directions</t>
        </is>
      </c>
      <c r="E9" s="2" t="inlineStr">
        <is>
          <t>Report degrees and repeatability</t>
        </is>
      </c>
      <c r="F9" s="2" t="inlineStr">
        <is>
          <t>Planned</t>
        </is>
      </c>
      <c r="G9" s="2" t="inlineStr">
        <is>
          <t>Avoid gravity preload masking backlash</t>
        </is>
      </c>
    </row>
    <row r="10">
      <c r="A10" s="3" t="inlineStr">
        <is>
          <t>P1B-07</t>
        </is>
      </c>
      <c r="B10" s="3" t="inlineStr">
        <is>
          <t>Static stiffness</t>
        </is>
      </c>
      <c r="C10" s="3" t="inlineStr">
        <is>
          <t>Known mass, lever radius, direction</t>
        </is>
      </c>
      <c r="D10" s="3" t="inlineStr">
        <is>
          <t>Torque, AS5600 deflection, residual after unload</t>
        </is>
      </c>
      <c r="E10" s="3" t="inlineStr">
        <is>
          <t>Calculate k = torque / deflection</t>
        </is>
      </c>
      <c r="F10" s="3" t="inlineStr">
        <is>
          <t>Planned</t>
        </is>
      </c>
      <c r="G10" s="3" t="inlineStr">
        <is>
          <t>Inspect integrated pin-wall opening</t>
        </is>
      </c>
    </row>
    <row r="11">
      <c r="A11" s="2" t="inlineStr">
        <is>
          <t>P1B-08</t>
        </is>
      </c>
      <c r="B11" s="2" t="inlineStr">
        <is>
          <t>Efficiency / pullout</t>
        </is>
      </c>
      <c r="C11" s="2" t="inlineStr">
        <is>
          <t>Current, motor speed, lever radius, fish-scale force</t>
        </is>
      </c>
      <c r="D11" s="2" t="inlineStr">
        <is>
          <t>Output torque at stall, motor temperature</t>
        </is>
      </c>
      <c r="E11" s="2" t="inlineStr">
        <is>
          <t>Compare to motor torque x ratio</t>
        </is>
      </c>
      <c r="F11" s="2" t="inlineStr">
        <is>
          <t>Planned</t>
        </is>
      </c>
      <c r="G11" s="2" t="inlineStr">
        <is>
          <t>Start unloaded; test at conservative current</t>
        </is>
      </c>
    </row>
    <row r="12">
      <c r="A12" s="3" t="inlineStr">
        <is>
          <t>P1B-09</t>
        </is>
      </c>
      <c r="B12" s="3" t="inlineStr">
        <is>
          <t>PETG grease coupon</t>
        </is>
      </c>
      <c r="C12" s="3" t="inlineStr">
        <is>
          <t>Bent PETG coupon, Super Lube exposure</t>
        </is>
      </c>
      <c r="D12" s="3" t="inlineStr">
        <is>
          <t>Crazing, crack, stiffness change after 12 h</t>
        </is>
      </c>
      <c r="E12" s="3" t="inlineStr">
        <is>
          <t>No visible craze or embrittlement</t>
        </is>
      </c>
      <c r="F12" s="3" t="inlineStr">
        <is>
          <t>Planned</t>
        </is>
      </c>
      <c r="G12" s="3" t="inlineStr">
        <is>
          <t>Test at disc print settings</t>
        </is>
      </c>
    </row>
  </sheetData>
  <mergeCells count="1">
    <mergeCell ref="A1:G1"/>
  </mergeCells>
  <dataValidations count="1">
    <dataValidation sqref="F4:F12" showDropDown="0" showInputMessage="0" showErrorMessage="0" allowBlank="0" type="list">
      <formula1>"Planned,Running,Pass,Fail,Blocked,Pending"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0" customWidth="1" min="6" max="6"/>
    <col width="20" customWidth="1" min="7" max="7"/>
  </cols>
  <sheetData>
    <row r="1" ht="25" customHeight="1">
      <c r="A1" s="1" t="inlineStr">
        <is>
          <t>Test Log - Append One Row Per Run</t>
        </is>
      </c>
    </row>
    <row r="3" ht="30" customHeight="1">
      <c r="A3" s="4" t="inlineStr">
        <is>
          <t>Date</t>
        </is>
      </c>
      <c r="B3" s="4" t="inlineStr">
        <is>
          <t>Test ID</t>
        </is>
      </c>
      <c r="C3" s="4" t="inlineStr">
        <is>
          <t>Configuration</t>
        </is>
      </c>
      <c r="D3" s="4" t="inlineStr">
        <is>
          <t>Input / setpoint</t>
        </is>
      </c>
      <c r="E3" s="4" t="inlineStr">
        <is>
          <t>Measured output</t>
        </is>
      </c>
      <c r="F3" s="4" t="inlineStr">
        <is>
          <t>Pass / fail</t>
        </is>
      </c>
      <c r="G3" s="4" t="inlineStr">
        <is>
          <t>Raw data path / notes</t>
        </is>
      </c>
    </row>
    <row r="4">
      <c r="A4" s="6" t="inlineStr">
        <is>
          <t>Enter a new row for each run; keep serial CSV files in docs/test-results/.</t>
        </is>
      </c>
    </row>
    <row r="5">
      <c r="A5" s="2" t="inlineStr">
        <is>
          <t>2026-08-31</t>
        </is>
      </c>
      <c r="B5" s="2" t="inlineStr">
        <is>
          <t>P1A-01</t>
        </is>
      </c>
      <c r="C5" s="2" t="inlineStr">
        <is>
          <t>Uno + TMC2209 + NEMA 17; 8x microstep; no encoder or reducer</t>
        </is>
      </c>
      <c r="D5" s="2" t="inlineStr">
        <is>
          <t>12 V PSU, about 1 A limit; 900 / 1066 / 1600 steps/s</t>
        </is>
      </c>
      <c r="E5" s="2" t="inlineStr">
        <is>
          <t>Smooth at all tested rates after current adjustment; motor and driver cold</t>
        </is>
      </c>
      <c r="F5" s="2" t="inlineStr">
        <is>
          <t>Pass</t>
        </is>
      </c>
      <c r="G5" s="2" t="inlineStr">
        <is>
          <t>docs/test-results/2026-08-31-open-loop-motor-bench.txt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6" customWidth="1" min="3" max="3"/>
    <col width="22" customWidth="1" min="4" max="4"/>
    <col width="20" customWidth="1" min="5" max="5"/>
    <col width="20" customWidth="1" min="6" max="6"/>
    <col width="26" customWidth="1" min="7" max="7"/>
  </cols>
  <sheetData>
    <row r="1" ht="25" customHeight="1">
      <c r="A1" s="1" t="inlineStr">
        <is>
          <t>Open CAD Inputs and Model Constraints</t>
        </is>
      </c>
    </row>
    <row r="3" ht="30" customHeight="1">
      <c r="A3" s="4" t="inlineStr">
        <is>
          <t>ID</t>
        </is>
      </c>
      <c r="B3" s="4" t="inlineStr">
        <is>
          <t>Item</t>
        </is>
      </c>
      <c r="C3" s="4" t="inlineStr">
        <is>
          <t>Required measurement / decision</t>
        </is>
      </c>
      <c r="D3" s="4" t="inlineStr">
        <is>
          <t>Why it matters</t>
        </is>
      </c>
      <c r="E3" s="4" t="inlineStr">
        <is>
          <t>Status</t>
        </is>
      </c>
      <c r="F3" s="4" t="inlineStr">
        <is>
          <t>Owner</t>
        </is>
      </c>
      <c r="G3" s="4" t="inlineStr">
        <is>
          <t>Resolution</t>
        </is>
      </c>
    </row>
    <row r="4">
      <c r="A4" s="3" t="inlineStr">
        <is>
          <t>CAD-01</t>
        </is>
      </c>
      <c r="B4" s="3" t="inlineStr">
        <is>
          <t>Integral ring-pin geometry</t>
        </is>
      </c>
      <c r="C4" s="3" t="inlineStr">
        <is>
          <t>Axial engagement length; radial embed depth or exposed arc angle</t>
        </is>
      </c>
      <c r="D4" s="3" t="inlineStr">
        <is>
          <t>Required to model housing opening and pin-root load path</t>
        </is>
      </c>
      <c r="E4" s="3" t="inlineStr">
        <is>
          <t>Pending</t>
        </is>
      </c>
      <c r="F4" s="3" t="inlineStr">
        <is>
          <t>CAD review</t>
        </is>
      </c>
      <c r="G4" s="3" t="inlineStr"/>
    </row>
    <row r="5">
      <c r="A5" s="2" t="inlineStr">
        <is>
          <t>CAD-02</t>
        </is>
      </c>
      <c r="B5" s="2" t="inlineStr">
        <is>
          <t>Housing behind pin</t>
        </is>
      </c>
      <c r="C5" s="2" t="inlineStr">
        <is>
          <t>Minimum back-wall thickness and root fillet radius</t>
        </is>
      </c>
      <c r="D5" s="2" t="inlineStr">
        <is>
          <t>Controls local bending, peel, and creep</t>
        </is>
      </c>
      <c r="E5" s="2" t="inlineStr">
        <is>
          <t>Pending</t>
        </is>
      </c>
      <c r="F5" s="2" t="inlineStr">
        <is>
          <t>CAD review</t>
        </is>
      </c>
      <c r="G5" s="2" t="inlineStr"/>
    </row>
    <row r="6">
      <c r="A6" s="3" t="inlineStr">
        <is>
          <t>CAD-03</t>
        </is>
      </c>
      <c r="B6" s="3" t="inlineStr">
        <is>
          <t>Housing stack</t>
        </is>
      </c>
      <c r="C6" s="3" t="inlineStr">
        <is>
          <t>Axial side-wall thickness and overall housing diameter</t>
        </is>
      </c>
      <c r="D6" s="3" t="inlineStr">
        <is>
          <t>Confirms stiffness and package envelope</t>
        </is>
      </c>
      <c r="E6" s="3" t="inlineStr">
        <is>
          <t>Pending</t>
        </is>
      </c>
      <c r="F6" s="3" t="inlineStr">
        <is>
          <t>CAD review</t>
        </is>
      </c>
      <c r="G6" s="3" t="inlineStr"/>
    </row>
    <row r="7">
      <c r="A7" s="2" t="inlineStr">
        <is>
          <t>CAD-04</t>
        </is>
      </c>
      <c r="B7" s="2" t="inlineStr">
        <is>
          <t>Output-shaft clearance</t>
        </is>
      </c>
      <c r="C7" s="2" t="inlineStr">
        <is>
          <t>Actual MR148, 4 mm shafts, and 23 mm-circle clearance in CAD</t>
        </is>
      </c>
      <c r="D7" s="2" t="inlineStr">
        <is>
          <t>Current conservative model has +0.35 mm radial overrun</t>
        </is>
      </c>
      <c r="E7" s="2" t="inlineStr">
        <is>
          <t>Failing</t>
        </is>
      </c>
      <c r="F7" s="2" t="inlineStr">
        <is>
          <t>CAD review</t>
        </is>
      </c>
      <c r="G7" s="2" t="inlineStr"/>
    </row>
    <row r="8">
      <c r="A8" s="3" t="inlineStr">
        <is>
          <t>CAD-05</t>
        </is>
      </c>
      <c r="B8" s="3" t="inlineStr">
        <is>
          <t>NEMA 17 envelope</t>
        </is>
      </c>
      <c r="C8" s="3" t="inlineStr">
        <is>
          <t>Actual external housing diameter/wall</t>
        </is>
      </c>
      <c r="D8" s="3" t="inlineStr">
        <is>
          <t>Current 2 mm-wall model reaches 43.5 mm diameter</t>
        </is>
      </c>
      <c r="E8" s="3" t="inlineStr">
        <is>
          <t>Pending</t>
        </is>
      </c>
      <c r="F8" s="3" t="inlineStr">
        <is>
          <t>CAD review</t>
        </is>
      </c>
      <c r="G8" s="3" t="inlineStr"/>
    </row>
    <row r="9">
      <c r="A9" s="2" t="inlineStr">
        <is>
          <t>ELEC-01</t>
        </is>
      </c>
      <c r="B9" s="2" t="inlineStr">
        <is>
          <t>Motor setup</t>
        </is>
      </c>
      <c r="C9" s="2" t="inlineStr">
        <is>
          <t>Motor part number, PSU voltage, TMC2209 Vref/current</t>
        </is>
      </c>
      <c r="D9" s="2" t="inlineStr">
        <is>
          <t>Sets safe initial run-in speed and load</t>
        </is>
      </c>
      <c r="E9" s="2" t="inlineStr">
        <is>
          <t>Pending</t>
        </is>
      </c>
      <c r="F9" s="2" t="inlineStr">
        <is>
          <t>Bench</t>
        </is>
      </c>
      <c r="G9" s="2" t="inlineStr"/>
    </row>
    <row r="10">
      <c r="A10" s="3" t="inlineStr">
        <is>
          <t>ENC-01</t>
        </is>
      </c>
      <c r="B10" s="3" t="inlineStr">
        <is>
          <t>Encoder mechanics</t>
        </is>
      </c>
      <c r="C10" s="3" t="inlineStr">
        <is>
          <t>Magnet size, material, gap, and retention</t>
        </is>
      </c>
      <c r="D10" s="3" t="inlineStr">
        <is>
          <t>Needed before encoder motion validation</t>
        </is>
      </c>
      <c r="E10" s="3" t="inlineStr">
        <is>
          <t>Pending</t>
        </is>
      </c>
      <c r="F10" s="3" t="inlineStr">
        <is>
          <t>CAD review</t>
        </is>
      </c>
      <c r="G10" s="3" t="inlineStr"/>
    </row>
  </sheetData>
  <mergeCells count="1">
    <mergeCell ref="A1:G1"/>
  </mergeCells>
  <dataValidations count="1">
    <dataValidation sqref="E4:E10" showDropDown="0" showInputMessage="0" showErrorMessage="0" allowBlank="0" type="list">
      <formula1>"Pending,In progress,Confirmed,Failing,Closed"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Desktop 6-DOF Arm</dc:creator>
  <dc:title>Desktop 6-DOF Arm Engineering Record</dc:title>
  <dcterms:created xsi:type="dcterms:W3CDTF">2026-09-15T17:32:19Z</dcterms:created>
  <dcterms:modified xsi:type="dcterms:W3CDTF">2026-09-15T17:32:19Z</dcterms:modified>
</cp:coreProperties>
</file>